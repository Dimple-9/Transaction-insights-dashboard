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hidePivotFieldList="1" defaultThemeVersion="202300"/>
  <xr:revisionPtr revIDLastSave="585" documentId="8_{DCB6ED11-9A02-43F8-8CBE-FD1A2A18FCB5}" xr6:coauthVersionLast="47" xr6:coauthVersionMax="47" xr10:uidLastSave="{293FFC4E-4ADD-4CF0-AAE0-4D033EFEB4B6}"/>
  <bookViews>
    <workbookView xWindow="-110" yWindow="-110" windowWidth="25820" windowHeight="15500" xr2:uid="{B1AD520D-1D68-4835-AABD-5FC93142F258}"/>
  </bookViews>
  <sheets>
    <sheet name="Main data sheet" sheetId="1" r:id="rId1"/>
    <sheet name="Dashboard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J5" i="1" s="1" a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J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<sst xmlns="http://schemas.openxmlformats.org/spreadsheetml/2006/main" count="558" uniqueCount="54">
  <si>
    <t>Date</t>
  </si>
  <si>
    <t>Description</t>
  </si>
  <si>
    <t>Amount</t>
  </si>
  <si>
    <t>Type</t>
  </si>
  <si>
    <t>Account</t>
  </si>
  <si>
    <t>Channel</t>
  </si>
  <si>
    <t>UBER TRIP MUMBAI</t>
  </si>
  <si>
    <t>ZOMATO ONLINE</t>
  </si>
  <si>
    <t>AMAZON PAY INDIA</t>
  </si>
  <si>
    <t>SALARY CREDIT</t>
  </si>
  <si>
    <t>ELECTRICITY BILL PAYMENT</t>
  </si>
  <si>
    <t>Debit</t>
  </si>
  <si>
    <t>Credit</t>
  </si>
  <si>
    <t>Savings</t>
  </si>
  <si>
    <t>Credit Card</t>
  </si>
  <si>
    <t>UPI</t>
  </si>
  <si>
    <t>Online</t>
  </si>
  <si>
    <t>NEFT</t>
  </si>
  <si>
    <t>SWIGGY FOOD ORDER</t>
  </si>
  <si>
    <t>NETFLIX SUBSCRIPTION</t>
  </si>
  <si>
    <t>Auto Debit</t>
  </si>
  <si>
    <t>FLIPKART ONLINE</t>
  </si>
  <si>
    <t>HP PETROL PUMP</t>
  </si>
  <si>
    <t>Card</t>
  </si>
  <si>
    <t>OLA CAB RIDE</t>
  </si>
  <si>
    <t>BIG BAZAAR SUPERMARKET</t>
  </si>
  <si>
    <t>SPOTIFY SUBSCRIPTION</t>
  </si>
  <si>
    <t>MOBILE RECHARGE JIO</t>
  </si>
  <si>
    <t>ATM CASH WITHDRAWAL</t>
  </si>
  <si>
    <t>ATM</t>
  </si>
  <si>
    <t>IRCTC TICKET BOOKING</t>
  </si>
  <si>
    <t>SWIGGY INSTAMART</t>
  </si>
  <si>
    <t>DOMINOS PIZZA</t>
  </si>
  <si>
    <t>AMAZON PRIME MEMBERSHIP</t>
  </si>
  <si>
    <t>UBER AUTO</t>
  </si>
  <si>
    <t>MEDICAL STORE PURCHASE</t>
  </si>
  <si>
    <t>ZEPTO GROCERY</t>
  </si>
  <si>
    <t>LIC PREMIUM PAYMENT</t>
  </si>
  <si>
    <t>BOOKMYSHOW MOVIE TICKETS</t>
  </si>
  <si>
    <t>STARBUCKS COFFEE</t>
  </si>
  <si>
    <t>AMAZON SHOPPING</t>
  </si>
  <si>
    <t>BIG BASKET GROCERY</t>
  </si>
  <si>
    <t>Category</t>
  </si>
  <si>
    <t>Month</t>
  </si>
  <si>
    <t>Matching Transactions</t>
  </si>
  <si>
    <t>Search Transactions</t>
  </si>
  <si>
    <t>Personal Transaction Insights Dashboard</t>
  </si>
  <si>
    <t>Key Insights</t>
  </si>
  <si>
    <t>•  Groceries is the highest spending category</t>
  </si>
  <si>
    <t xml:space="preserve">•  Food &amp; Dining expenses occur frequently </t>
  </si>
  <si>
    <t>•  Spending varies across months</t>
  </si>
  <si>
    <t>•  Healthcare expenses recorded this period</t>
  </si>
  <si>
    <t xml:space="preserve"> • Subscription-based entertainment detected</t>
  </si>
  <si>
    <t>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</si>
</sst>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0" fontId="4" fillId="0" borderId="0" xfId="0" applyFont="1"/>
    <xf numFmtId="164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0" fontId="0" fillId="3" borderId="2" xfId="0" applyFill="1" applyBorder="1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11"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yyyy\-mm\-dd;@"/>
      <alignment horizontal="center" vertical="center" textRotation="0" wrapText="1" indent="0" justifyLastLine="0" shrinkToFit="0" readingOrder="0"/>
    </dxf>
    <dxf>
      <numFmt numFmtId="164" formatCode="yyyy\-mm\-dd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Expense Trend</a:t>
            </a:r>
          </a:p>
        </c:rich>
      </c:tx>
      <c:layout>
        <c:manualLayout>
          <c:xMode val="edge"/>
          <c:yMode val="edge"/>
          <c:x val="0.37692374277709018"/>
          <c:y val="5.1896921975662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55111.5</c:v>
              </c:pt>
              <c:pt idx="1">
                <c:v>34755</c:v>
              </c:pt>
              <c:pt idx="2">
                <c:v>34106</c:v>
              </c:pt>
            </c:numLit>
          </c:val>
          <c:extLst>
            <c:ext xmlns:c16="http://schemas.microsoft.com/office/drawing/2014/chart" uri="{C3380CC4-5D6E-409C-BE32-E72D297353CC}">
              <c16:uniqueId val="{00000000-0E75-4197-8B9E-4E9DC17E8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7976575"/>
        <c:axId val="1867971295"/>
      </c:barChart>
      <c:catAx>
        <c:axId val="186797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67971295"/>
        <c:crosses val="autoZero"/>
        <c:auto val="1"/>
        <c:lblAlgn val="ctr"/>
        <c:lblOffset val="100"/>
        <c:noMultiLvlLbl val="0"/>
      </c:catAx>
      <c:valAx>
        <c:axId val="18679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6797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Spending by Category</a:t>
            </a:r>
          </a:p>
        </c:rich>
      </c:tx>
      <c:layout>
        <c:manualLayout>
          <c:xMode val="edge"/>
          <c:yMode val="edge"/>
          <c:x val="0.31581863805485855"/>
          <c:y val="3.6072673292887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Bills &amp; Utilities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6267</c:v>
              </c:pt>
              <c:pt idx="1">
                <c:v>4208</c:v>
              </c:pt>
              <c:pt idx="2">
                <c:v>4248</c:v>
              </c:pt>
            </c:numLit>
          </c:val>
          <c:extLst>
            <c:ext xmlns:c16="http://schemas.microsoft.com/office/drawing/2014/chart" uri="{C3380CC4-5D6E-409C-BE32-E72D297353CC}">
              <c16:uniqueId val="{00000000-5835-4F9D-8C49-7F8C7AB9A772}"/>
            </c:ext>
          </c:extLst>
        </c:ser>
        <c:ser>
          <c:idx val="1"/>
          <c:order val="1"/>
          <c:tx>
            <c:v>Entertainment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5064</c:v>
              </c:pt>
              <c:pt idx="1">
                <c:v>2797</c:v>
              </c:pt>
              <c:pt idx="2">
                <c:v>1298</c:v>
              </c:pt>
            </c:numLit>
          </c:val>
          <c:extLst>
            <c:ext xmlns:c16="http://schemas.microsoft.com/office/drawing/2014/chart" uri="{C3380CC4-5D6E-409C-BE32-E72D297353CC}">
              <c16:uniqueId val="{00000001-5835-4F9D-8C49-7F8C7AB9A772}"/>
            </c:ext>
          </c:extLst>
        </c:ser>
        <c:ser>
          <c:idx val="2"/>
          <c:order val="2"/>
          <c:tx>
            <c:v>Food &amp; Dining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8060</c:v>
              </c:pt>
              <c:pt idx="1">
                <c:v>6810</c:v>
              </c:pt>
              <c:pt idx="2">
                <c:v>7280</c:v>
              </c:pt>
            </c:numLit>
          </c:val>
          <c:extLst>
            <c:ext xmlns:c16="http://schemas.microsoft.com/office/drawing/2014/chart" uri="{C3380CC4-5D6E-409C-BE32-E72D297353CC}">
              <c16:uniqueId val="{00000002-5835-4F9D-8C49-7F8C7AB9A772}"/>
            </c:ext>
          </c:extLst>
        </c:ser>
        <c:ser>
          <c:idx val="3"/>
          <c:order val="3"/>
          <c:tx>
            <c:v>Groceries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6790</c:v>
              </c:pt>
              <c:pt idx="1">
                <c:v>4450</c:v>
              </c:pt>
              <c:pt idx="2">
                <c:v>4710</c:v>
              </c:pt>
            </c:numLit>
          </c:val>
          <c:extLst>
            <c:ext xmlns:c16="http://schemas.microsoft.com/office/drawing/2014/chart" uri="{C3380CC4-5D6E-409C-BE32-E72D297353CC}">
              <c16:uniqueId val="{00000003-5835-4F9D-8C49-7F8C7AB9A772}"/>
            </c:ext>
          </c:extLst>
        </c:ser>
        <c:ser>
          <c:idx val="4"/>
          <c:order val="4"/>
          <c:tx>
            <c:v>Health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2610</c:v>
              </c:pt>
              <c:pt idx="1">
                <c:v>2770</c:v>
              </c:pt>
              <c:pt idx="2">
                <c:v>2690</c:v>
              </c:pt>
            </c:numLit>
          </c:val>
          <c:extLst>
            <c:ext xmlns:c16="http://schemas.microsoft.com/office/drawing/2014/chart" uri="{C3380CC4-5D6E-409C-BE32-E72D297353CC}">
              <c16:uniqueId val="{00000004-5835-4F9D-8C49-7F8C7AB9A772}"/>
            </c:ext>
          </c:extLst>
        </c:ser>
        <c:ser>
          <c:idx val="5"/>
          <c:order val="5"/>
          <c:tx>
            <c:v>Shopping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8500</c:v>
              </c:pt>
              <c:pt idx="1">
                <c:v>4240</c:v>
              </c:pt>
              <c:pt idx="2">
                <c:v>4530</c:v>
              </c:pt>
            </c:numLit>
          </c:val>
          <c:extLst>
            <c:ext xmlns:c16="http://schemas.microsoft.com/office/drawing/2014/chart" uri="{C3380CC4-5D6E-409C-BE32-E72D297353CC}">
              <c16:uniqueId val="{00000005-5835-4F9D-8C49-7F8C7AB9A772}"/>
            </c:ext>
          </c:extLst>
        </c:ser>
        <c:ser>
          <c:idx val="6"/>
          <c:order val="6"/>
          <c:tx>
            <c:v>Transport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7680.5</c:v>
              </c:pt>
              <c:pt idx="1">
                <c:v>5880</c:v>
              </c:pt>
              <c:pt idx="2">
                <c:v>5750</c:v>
              </c:pt>
            </c:numLit>
          </c:val>
          <c:extLst>
            <c:ext xmlns:c16="http://schemas.microsoft.com/office/drawing/2014/chart" uri="{C3380CC4-5D6E-409C-BE32-E72D297353CC}">
              <c16:uniqueId val="{00000006-5835-4F9D-8C49-7F8C7AB9A772}"/>
            </c:ext>
          </c:extLst>
        </c:ser>
        <c:ser>
          <c:idx val="7"/>
          <c:order val="7"/>
          <c:tx>
            <c:v>Uncategorized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10140</c:v>
              </c:pt>
              <c:pt idx="1">
                <c:v>3600</c:v>
              </c:pt>
              <c:pt idx="2">
                <c:v>3600</c:v>
              </c:pt>
            </c:numLit>
          </c:val>
          <c:extLst>
            <c:ext xmlns:c16="http://schemas.microsoft.com/office/drawing/2014/chart" uri="{C3380CC4-5D6E-409C-BE32-E72D297353CC}">
              <c16:uniqueId val="{00000007-5835-4F9D-8C49-7F8C7AB9A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315104"/>
        <c:axId val="1723313184"/>
      </c:barChart>
      <c:catAx>
        <c:axId val="17233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723313184"/>
        <c:crosses val="autoZero"/>
        <c:auto val="1"/>
        <c:lblAlgn val="ctr"/>
        <c:lblOffset val="100"/>
        <c:noMultiLvlLbl val="0"/>
      </c:catAx>
      <c:valAx>
        <c:axId val="172331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72331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387350</xdr:colOff>
      <xdr:row>3</xdr:row>
      <xdr:rowOff>152400</xdr:rowOff>
    </xdr:from>
    <xdr:to>
      <xdr:col>8</xdr:col>
      <xdr:colOff>82550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0B9D79-0417-4848-B5F5-24F0515E2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501650</xdr:colOff>
      <xdr:row>3</xdr:row>
      <xdr:rowOff>133350</xdr:rowOff>
    </xdr:from>
    <xdr:to>
      <xdr:col>19</xdr:col>
      <xdr:colOff>552450</xdr:colOff>
      <xdr:row>20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8BAEF2-CDEF-4405-9DD7-7C984A3F3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0.52637</cdr:x>
      <cdr:y>0.12292</cdr:y>
    </cdr:from>
    <cdr:to>
      <cdr:x>0.68462</cdr:x>
      <cdr:y>0.20833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638CDEA-728C-8BB7-A8C6-B31647635C97}"/>
            </a:ext>
          </a:extLst>
        </cdr:cNvPr>
        <cdr:cNvSpPr txBox="1"/>
      </cdr:nvSpPr>
      <cdr:spPr>
        <a:xfrm xmlns:a="http://schemas.openxmlformats.org/drawingml/2006/main">
          <a:off x="3041650" y="374650"/>
          <a:ext cx="914400" cy="260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001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4657D-D9AF-432A-BD6A-6EBAB03FC452}" name="Table1" displayName="Table1" ref="A1:H134" totalsRowShown="0" headerRowDxfId="10" dataDxfId="8" headerRowBorderDxfId="9">
  <autoFilter ref="A1:H134" xr:uid="{A144657D-D9AF-432A-BD6A-6EBAB03FC452}"/>
  <tableColumns count="8">
    <tableColumn id="1" xr3:uid="{EDB77720-8A34-4A41-BFD7-2A9DA87F1297}" name="Date" dataDxfId="7"/>
    <tableColumn id="11" xr3:uid="{D1FEED0F-C559-4D06-882A-7D211C3C900B}" name="Month" dataDxfId="6">
      <calculatedColumnFormula>TEXT(A2,"mmm")</calculatedColumnFormula>
    </tableColumn>
    <tableColumn id="2" xr3:uid="{CC853960-6DCC-48B5-9B18-A34B2027D9EC}" name="Description" dataDxfId="5"/>
    <tableColumn id="3" xr3:uid="{41078AD9-7B62-4C93-A6D8-557ECEF15799}" name="Amount" dataDxfId="4"/>
    <tableColumn id="4" xr3:uid="{ED3C5A71-C944-46FB-85D8-8E12D630B534}" name="Type" dataDxfId="3"/>
    <tableColumn id="5" xr3:uid="{22D46A6E-2696-453D-AA8D-8D9F235D059B}" name="Account" dataDxfId="2"/>
    <tableColumn id="6" xr3:uid="{DCCD905D-401E-4C63-B4E2-C509375E307B}" name="Channel" dataDxfId="1"/>
    <tableColumn id="8" xr3:uid="{4B01FF3D-1F3E-448E-BF19-0F895A3B0E76}" name="Category" dataDxfId="0">
      <calculatedColumnFormula xml:space="preserve"> IF(OR(ISNUMBER(SEARCH("zomato",C2)),ISNUMBER(SEARCH("swiggy",C2)),ISNUMBER(SEARCH("pizza",C2)),ISNUMBER(SEARCH("cafe",C2)),ISNUMBER(SEARCH("coffee",C2)),ISNUMBER(SEARCH("restaurant",C2)),ISNUMBER(SEARCH("starbucks",C2))),"Food &amp; Dining",
IF(OR(ISNUMBER(SEARCH("grocery",C2)),ISNUMBER(SEARCH("mart",C2)),ISNUMBER(SEARCH("supermarket",C2))),"Groceries",
IF(OR(ISNUMBER(SEARCH("netflix",C2)),ISNUMBER(SEARCH("spotify",C2)),ISNUMBER(SEARCH("prime",C2)),ISNUMBER(SEARCH("hotstar",C2))),"Entertainment",
IF(OR(ISNUMBER(SEARCH("uber",C2)),ISNUMBER(SEARCH("ola",C2)),ISNUMBER(SEARCH("petrol",C2)),ISNUMBER(SEARCH("fuel",C2))),"Transport",
IF(OR(ISNUMBER(SEARCH("amazon",C2)),ISNUMBER(SEARCH("flipkart",C2))),"Shopping",
IF(OR(ISNUMBER(SEARCH("electricity",C2)),ISNUMBER(SEARCH("gas",C2)),ISNUMBER(SEARCH("recharge",C2)),ISNUMBER(SEARCH("broadband",C2))),"Bills &amp; Utilities",
IF(OR(ISNUMBER(SEARCH("transfer",C2)),ISNUMBER(SEARCH("upi",C2)),ISNUMBER(SEARCH("sent",C2))),"Transfers",
IF(OR(ISNUMBER(SEARCH("salary",C2)),ISNUMBER(SEARCH("refund",C2)),ISNUMBER(SEARCH("cashback",C2))),"Income",
IF(OR(ISNUMBER(SEARCH("medical",C2)),ISNUMBER(SEARCH("pharmacy",C2)),ISNUMBER(SEARCH("hospital",C2)),ISNUMBER(SEARCH("clinic",C2)),ISNUMBER(SEARCH("doctor",C2))),"Health",
"Uncategorized")))))))))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6E96-EA44-4C9C-98BB-650626C7597B}">
  <dimension ref="A1:Q134"/>
  <sheetViews>
    <sheetView tabSelected="1" zoomScale="84" workbookViewId="0">
      <pane ySplit="1" topLeftCell="A2" activePane="bottomLeft" state="frozen"/>
      <selection pane="bottomLeft" activeCell="J3" sqref="J3"/>
    </sheetView>
  </sheetViews>
  <sheetFormatPr defaultRowHeight="14.5" x14ac:dyDescent="0.35"/>
  <cols>
    <col min="1" max="1" width="12.81640625" customWidth="1"/>
    <col min="2" max="2" width="22.81640625" customWidth="1"/>
    <col min="3" max="3" width="19.453125" customWidth="1"/>
    <col min="4" max="4" width="16.90625" customWidth="1"/>
    <col min="5" max="5" width="15.36328125" customWidth="1"/>
    <col min="6" max="6" width="13.1796875" customWidth="1"/>
    <col min="7" max="7" width="17.08984375" customWidth="1"/>
    <col min="8" max="8" width="19" customWidth="1"/>
    <col min="9" max="9" width="15.90625" customWidth="1"/>
    <col min="10" max="10" width="27.1796875" customWidth="1"/>
    <col min="11" max="11" width="5.6328125" customWidth="1"/>
    <col min="12" max="12" width="24.453125" customWidth="1"/>
    <col min="15" max="15" width="12.453125" customWidth="1"/>
    <col min="16" max="16" width="12" customWidth="1"/>
    <col min="17" max="17" width="14.6328125" customWidth="1"/>
  </cols>
  <sheetData>
    <row r="1" spans="1:17" ht="16" x14ac:dyDescent="0.4">
      <c r="A1" s="4" t="s">
        <v>0</v>
      </c>
      <c r="B1" s="4" t="s">
        <v>43</v>
      </c>
      <c r="C1" s="2" t="s">
        <v>1</v>
      </c>
      <c r="D1" s="7" t="s">
        <v>2</v>
      </c>
      <c r="E1" s="2" t="s">
        <v>3</v>
      </c>
      <c r="F1" s="2" t="s">
        <v>4</v>
      </c>
      <c r="G1" s="2" t="s">
        <v>5</v>
      </c>
      <c r="H1" s="2" t="s">
        <v>42</v>
      </c>
      <c r="J1" s="15" t="s">
        <v>45</v>
      </c>
    </row>
    <row r="2" spans="1:17" x14ac:dyDescent="0.35">
      <c r="A2" s="5">
        <v>45659</v>
      </c>
      <c r="B2" s="5" t="str">
        <f t="shared" ref="B2:B33" si="0">TEXT(A2,"mmm")</f>
        <v>Jan</v>
      </c>
      <c r="C2" s="3" t="s">
        <v>6</v>
      </c>
      <c r="D2" s="8">
        <v>320.5</v>
      </c>
      <c r="E2" s="3" t="s">
        <v>11</v>
      </c>
      <c r="F2" s="3" t="s">
        <v>13</v>
      </c>
      <c r="G2" s="3" t="s">
        <v>15</v>
      </c>
      <c r="H2" s="1" t="str">
        <f t="shared" ref="H2:H33" si="1" xml:space="preserve"> IF(OR(ISNUMBER(SEARCH("zomato",C2)),ISNUMBER(SEARCH("swiggy",C2)),ISNUMBER(SEARCH("pizza",C2)),ISNUMBER(SEARCH("cafe",C2)),ISNUMBER(SEARCH("coffee",C2)),ISNUMBER(SEARCH("restaurant",C2)),ISNUMBER(SEARCH("starbucks",C2))),"Food &amp; Dining",
IF(OR(ISNUMBER(SEARCH("grocery",C2)),ISNUMBER(SEARCH("mart",C2)),ISNUMBER(SEARCH("supermarket",C2))),"Groceries",
IF(OR(ISNUMBER(SEARCH("netflix",C2)),ISNUMBER(SEARCH("spotify",C2)),ISNUMBER(SEARCH("prime",C2)),ISNUMBER(SEARCH("hotstar",C2))),"Entertainment",
IF(OR(ISNUMBER(SEARCH("uber",C2)),ISNUMBER(SEARCH("ola",C2)),ISNUMBER(SEARCH("petrol",C2)),ISNUMBER(SEARCH("fuel",C2))),"Transport",
IF(OR(ISNUMBER(SEARCH("amazon",C2)),ISNUMBER(SEARCH("flipkart",C2))),"Shopping",
IF(OR(ISNUMBER(SEARCH("electricity",C2)),ISNUMBER(SEARCH("gas",C2)),ISNUMBER(SEARCH("recharge",C2)),ISNUMBER(SEARCH("broadband",C2))),"Bills &amp; Utilities",
IF(OR(ISNUMBER(SEARCH("transfer",C2)),ISNUMBER(SEARCH("upi",C2)),ISNUMBER(SEARCH("sent",C2))),"Transfers",
IF(OR(ISNUMBER(SEARCH("salary",C2)),ISNUMBER(SEARCH("refund",C2)),ISNUMBER(SEARCH("cashback",C2))),"Income",
IF(OR(ISNUMBER(SEARCH("medical",C2)),ISNUMBER(SEARCH("pharmacy",C2)),ISNUMBER(SEARCH("hospital",C2)),ISNUMBER(SEARCH("clinic",C2)),ISNUMBER(SEARCH("doctor",C2))),"Health",
"Uncategorized")))))))))</f>
        <v>Transport</v>
      </c>
      <c r="J2" s="16" t="s">
        <v>53</v>
      </c>
    </row>
    <row r="3" spans="1:17" ht="18.5" x14ac:dyDescent="0.45">
      <c r="A3" s="5">
        <v>45659</v>
      </c>
      <c r="B3" s="5" t="str">
        <f t="shared" si="0"/>
        <v>Jan</v>
      </c>
      <c r="C3" s="3" t="s">
        <v>7</v>
      </c>
      <c r="D3" s="8">
        <v>550</v>
      </c>
      <c r="E3" s="3" t="s">
        <v>11</v>
      </c>
      <c r="F3" s="3" t="s">
        <v>13</v>
      </c>
      <c r="G3" s="3" t="s">
        <v>15</v>
      </c>
      <c r="H3" s="1" t="str">
        <f t="shared" si="1"/>
        <v>Food &amp; Dining</v>
      </c>
      <c r="J3" s="10" t="s">
        <v>44</v>
      </c>
    </row>
    <row r="4" spans="1:17" x14ac:dyDescent="0.35">
      <c r="A4" s="5">
        <v>45660</v>
      </c>
      <c r="B4" s="5" t="str">
        <f t="shared" si="0"/>
        <v>Jan</v>
      </c>
      <c r="C4" s="3" t="s">
        <v>8</v>
      </c>
      <c r="D4" s="8">
        <v>1200</v>
      </c>
      <c r="E4" s="3" t="s">
        <v>11</v>
      </c>
      <c r="F4" s="3" t="s">
        <v>14</v>
      </c>
      <c r="G4" s="3" t="s">
        <v>16</v>
      </c>
      <c r="H4" s="1" t="str">
        <f t="shared" si="1"/>
        <v>Shopping</v>
      </c>
      <c r="J4" s="11" t="s">
        <v>0</v>
      </c>
      <c r="K4" s="11" t="s">
        <v>43</v>
      </c>
      <c r="L4" s="12" t="s">
        <v>1</v>
      </c>
      <c r="M4" s="13" t="s">
        <v>2</v>
      </c>
      <c r="N4" s="12" t="s">
        <v>3</v>
      </c>
      <c r="O4" s="12" t="s">
        <v>4</v>
      </c>
      <c r="P4" s="12" t="s">
        <v>5</v>
      </c>
      <c r="Q4" s="12" t="s">
        <v>42</v>
      </c>
    </row>
    <row r="5" spans="1:17" x14ac:dyDescent="0.35">
      <c r="A5" s="5">
        <v>45660</v>
      </c>
      <c r="B5" s="5" t="str">
        <f t="shared" si="0"/>
        <v>Jan</v>
      </c>
      <c r="C5" s="3" t="s">
        <v>9</v>
      </c>
      <c r="D5" s="8">
        <v>45000</v>
      </c>
      <c r="E5" s="3" t="s">
        <v>12</v>
      </c>
      <c r="F5" s="3" t="s">
        <v>13</v>
      </c>
      <c r="G5" s="3" t="s">
        <v>17</v>
      </c>
      <c r="H5" s="1" t="str">
        <f t="shared" si="1"/>
        <v>Income</v>
      </c>
      <c r="J5" s="5" cm="1">
        <f t="array" ref="J5:Q13">IF(J2="","",
_xlfn._xlws.FILTER(A2:H1000,
(ISNUMBER(SEARCH(J2,C2:C1000)) + ISNUMBER(SEARCH(J2,H2:H1000))),
"No results"))</f>
        <v>45659</v>
      </c>
      <c r="K5" s="3" t="str">
        <v>Jan</v>
      </c>
      <c r="L5" s="3" t="str">
        <v>UBER TRIP MUMBAI</v>
      </c>
      <c r="M5" s="3">
        <v>320.5</v>
      </c>
      <c r="N5" s="3" t="str">
        <v>Debit</v>
      </c>
      <c r="O5" s="3" t="str">
        <v>Savings</v>
      </c>
      <c r="P5" s="3" t="str">
        <v>UPI</v>
      </c>
      <c r="Q5" s="3" t="str">
        <v>Transport</v>
      </c>
    </row>
    <row r="6" spans="1:17" x14ac:dyDescent="0.35">
      <c r="A6" s="5">
        <v>45661</v>
      </c>
      <c r="B6" s="5" t="str">
        <f t="shared" si="0"/>
        <v>Jan</v>
      </c>
      <c r="C6" s="3" t="s">
        <v>10</v>
      </c>
      <c r="D6" s="8">
        <v>1800</v>
      </c>
      <c r="E6" s="3" t="s">
        <v>11</v>
      </c>
      <c r="F6" s="3" t="s">
        <v>13</v>
      </c>
      <c r="G6" s="3" t="s">
        <v>15</v>
      </c>
      <c r="H6" s="1" t="str">
        <f t="shared" si="1"/>
        <v>Bills &amp; Utilities</v>
      </c>
      <c r="J6" s="5">
        <v>45668</v>
      </c>
      <c r="K6" s="3" t="str">
        <v>Jan</v>
      </c>
      <c r="L6" s="3" t="str">
        <v>UBER AUTO</v>
      </c>
      <c r="M6" s="3">
        <v>140</v>
      </c>
      <c r="N6" s="3" t="str">
        <v>Debit</v>
      </c>
      <c r="O6" s="3" t="str">
        <v>Savings</v>
      </c>
      <c r="P6" s="3" t="str">
        <v>UPI</v>
      </c>
      <c r="Q6" s="3" t="str">
        <v>Transport</v>
      </c>
    </row>
    <row r="7" spans="1:17" x14ac:dyDescent="0.35">
      <c r="A7" s="6">
        <v>45661</v>
      </c>
      <c r="B7" s="6" t="str">
        <f t="shared" si="0"/>
        <v>Jan</v>
      </c>
      <c r="C7" s="1" t="s">
        <v>18</v>
      </c>
      <c r="D7" s="9">
        <v>420</v>
      </c>
      <c r="E7" s="1" t="s">
        <v>11</v>
      </c>
      <c r="F7" s="1" t="s">
        <v>13</v>
      </c>
      <c r="G7" s="1" t="s">
        <v>15</v>
      </c>
      <c r="H7" s="1" t="str">
        <f t="shared" si="1"/>
        <v>Food &amp; Dining</v>
      </c>
      <c r="J7" s="5">
        <v>45678</v>
      </c>
      <c r="K7" s="3" t="str">
        <v>Jan</v>
      </c>
      <c r="L7" s="3" t="str">
        <v>UBER TRIP MUMBAI</v>
      </c>
      <c r="M7" s="3">
        <v>310</v>
      </c>
      <c r="N7" s="3" t="str">
        <v>Debit</v>
      </c>
      <c r="O7" s="3" t="str">
        <v>Savings</v>
      </c>
      <c r="P7" s="3" t="str">
        <v>UPI</v>
      </c>
      <c r="Q7" s="3" t="str">
        <v>Transport</v>
      </c>
    </row>
    <row r="8" spans="1:17" ht="29" x14ac:dyDescent="0.35">
      <c r="A8" s="6">
        <v>45662</v>
      </c>
      <c r="B8" s="6" t="str">
        <f t="shared" si="0"/>
        <v>Jan</v>
      </c>
      <c r="C8" s="1" t="s">
        <v>19</v>
      </c>
      <c r="D8" s="9">
        <v>649</v>
      </c>
      <c r="E8" s="1" t="s">
        <v>11</v>
      </c>
      <c r="F8" s="1" t="s">
        <v>14</v>
      </c>
      <c r="G8" s="1" t="s">
        <v>20</v>
      </c>
      <c r="H8" s="1" t="str">
        <f t="shared" si="1"/>
        <v>Entertainment</v>
      </c>
      <c r="J8" s="5">
        <v>45684</v>
      </c>
      <c r="K8" s="3" t="str">
        <v>Jan</v>
      </c>
      <c r="L8" s="3" t="str">
        <v>UBER AUTO</v>
      </c>
      <c r="M8" s="3">
        <v>150</v>
      </c>
      <c r="N8" s="3" t="str">
        <v>Debit</v>
      </c>
      <c r="O8" s="3" t="str">
        <v>Savings</v>
      </c>
      <c r="P8" s="3" t="str">
        <v>UPI</v>
      </c>
      <c r="Q8" s="3" t="str">
        <v>Transport</v>
      </c>
    </row>
    <row r="9" spans="1:17" x14ac:dyDescent="0.35">
      <c r="A9" s="6">
        <v>45662</v>
      </c>
      <c r="B9" s="6" t="str">
        <f t="shared" si="0"/>
        <v>Jan</v>
      </c>
      <c r="C9" s="1" t="s">
        <v>21</v>
      </c>
      <c r="D9" s="9">
        <v>2300</v>
      </c>
      <c r="E9" s="1" t="s">
        <v>11</v>
      </c>
      <c r="F9" s="1" t="s">
        <v>14</v>
      </c>
      <c r="G9" s="1" t="s">
        <v>16</v>
      </c>
      <c r="H9" s="1" t="str">
        <f t="shared" si="1"/>
        <v>Shopping</v>
      </c>
      <c r="J9" s="5">
        <v>45689</v>
      </c>
      <c r="K9" s="3" t="str">
        <v>Feb</v>
      </c>
      <c r="L9" s="3" t="str">
        <v>UBER TRIP MUMBAI</v>
      </c>
      <c r="M9" s="3">
        <v>300</v>
      </c>
      <c r="N9" s="3" t="str">
        <v>Debit</v>
      </c>
      <c r="O9" s="3" t="str">
        <v>Savings</v>
      </c>
      <c r="P9" s="3" t="str">
        <v>UPI</v>
      </c>
      <c r="Q9" s="3" t="str">
        <v>Transport</v>
      </c>
    </row>
    <row r="10" spans="1:17" x14ac:dyDescent="0.35">
      <c r="A10" s="6">
        <v>45663</v>
      </c>
      <c r="B10" s="6" t="str">
        <f t="shared" si="0"/>
        <v>Jan</v>
      </c>
      <c r="C10" s="1" t="s">
        <v>22</v>
      </c>
      <c r="D10" s="9">
        <v>1500</v>
      </c>
      <c r="E10" s="1" t="s">
        <v>11</v>
      </c>
      <c r="F10" s="1" t="s">
        <v>13</v>
      </c>
      <c r="G10" s="1" t="s">
        <v>23</v>
      </c>
      <c r="H10" s="1" t="str">
        <f t="shared" si="1"/>
        <v>Transport</v>
      </c>
      <c r="J10" s="5">
        <v>45695</v>
      </c>
      <c r="K10" s="3" t="str">
        <v>Feb</v>
      </c>
      <c r="L10" s="3" t="str">
        <v>UBER AUTO</v>
      </c>
      <c r="M10" s="3">
        <v>160</v>
      </c>
      <c r="N10" s="3" t="str">
        <v>Debit</v>
      </c>
      <c r="O10" s="3" t="str">
        <v>Savings</v>
      </c>
      <c r="P10" s="3" t="str">
        <v>UPI</v>
      </c>
      <c r="Q10" s="3" t="str">
        <v>Transport</v>
      </c>
    </row>
    <row r="11" spans="1:17" x14ac:dyDescent="0.35">
      <c r="A11" s="6">
        <v>45663</v>
      </c>
      <c r="B11" s="6" t="str">
        <f t="shared" si="0"/>
        <v>Jan</v>
      </c>
      <c r="C11" s="1" t="s">
        <v>24</v>
      </c>
      <c r="D11" s="9">
        <v>270</v>
      </c>
      <c r="E11" s="1" t="s">
        <v>11</v>
      </c>
      <c r="F11" s="1" t="s">
        <v>13</v>
      </c>
      <c r="G11" s="1" t="s">
        <v>15</v>
      </c>
      <c r="H11" s="1" t="str">
        <f t="shared" si="1"/>
        <v>Transport</v>
      </c>
      <c r="J11" s="5">
        <v>45714</v>
      </c>
      <c r="K11" s="3" t="str">
        <v>Feb</v>
      </c>
      <c r="L11" s="3" t="str">
        <v>UBER TRIP MUMBAI</v>
      </c>
      <c r="M11" s="3">
        <v>320</v>
      </c>
      <c r="N11" s="3" t="str">
        <v>Debit</v>
      </c>
      <c r="O11" s="3" t="str">
        <v>Savings</v>
      </c>
      <c r="P11" s="3" t="str">
        <v>UPI</v>
      </c>
      <c r="Q11" s="3" t="str">
        <v>Transport</v>
      </c>
    </row>
    <row r="12" spans="1:17" ht="29" x14ac:dyDescent="0.35">
      <c r="A12" s="6">
        <v>45664</v>
      </c>
      <c r="B12" s="6" t="str">
        <f t="shared" si="0"/>
        <v>Jan</v>
      </c>
      <c r="C12" s="1" t="s">
        <v>25</v>
      </c>
      <c r="D12" s="9">
        <v>1850</v>
      </c>
      <c r="E12" s="1" t="s">
        <v>11</v>
      </c>
      <c r="F12" s="1" t="s">
        <v>13</v>
      </c>
      <c r="G12" s="1" t="s">
        <v>23</v>
      </c>
      <c r="H12" s="1" t="str">
        <f t="shared" si="1"/>
        <v>Groceries</v>
      </c>
      <c r="J12" s="5">
        <v>45717</v>
      </c>
      <c r="K12" s="3" t="str">
        <v>Mar</v>
      </c>
      <c r="L12" s="3" t="str">
        <v>UBER AUTO</v>
      </c>
      <c r="M12" s="3">
        <v>180</v>
      </c>
      <c r="N12" s="3" t="str">
        <v>Debit</v>
      </c>
      <c r="O12" s="3" t="str">
        <v>Savings</v>
      </c>
      <c r="P12" s="3" t="str">
        <v>UPI</v>
      </c>
      <c r="Q12" s="3" t="str">
        <v>Transport</v>
      </c>
    </row>
    <row r="13" spans="1:17" ht="29" x14ac:dyDescent="0.35">
      <c r="A13" s="6">
        <v>45664</v>
      </c>
      <c r="B13" s="6" t="str">
        <f t="shared" si="0"/>
        <v>Jan</v>
      </c>
      <c r="C13" s="1" t="s">
        <v>26</v>
      </c>
      <c r="D13" s="9">
        <v>119</v>
      </c>
      <c r="E13" s="1" t="s">
        <v>11</v>
      </c>
      <c r="F13" s="1" t="s">
        <v>14</v>
      </c>
      <c r="G13" s="1" t="s">
        <v>20</v>
      </c>
      <c r="H13" s="1" t="str">
        <f t="shared" si="1"/>
        <v>Entertainment</v>
      </c>
      <c r="J13" s="5">
        <v>45744</v>
      </c>
      <c r="K13" s="3" t="str">
        <v>Mar</v>
      </c>
      <c r="L13" s="3" t="str">
        <v>UBER TRIP MUMBAI</v>
      </c>
      <c r="M13" s="3">
        <v>330</v>
      </c>
      <c r="N13" s="3" t="str">
        <v>Debit</v>
      </c>
      <c r="O13" s="3" t="str">
        <v>Savings</v>
      </c>
      <c r="P13" s="3" t="str">
        <v>UPI</v>
      </c>
      <c r="Q13" s="3" t="str">
        <v>Transport</v>
      </c>
    </row>
    <row r="14" spans="1:17" ht="29" x14ac:dyDescent="0.35">
      <c r="A14" s="6">
        <v>45665</v>
      </c>
      <c r="B14" s="6" t="str">
        <f t="shared" si="0"/>
        <v>Jan</v>
      </c>
      <c r="C14" s="1" t="s">
        <v>27</v>
      </c>
      <c r="D14" s="9">
        <v>299</v>
      </c>
      <c r="E14" s="1" t="s">
        <v>11</v>
      </c>
      <c r="F14" s="1" t="s">
        <v>13</v>
      </c>
      <c r="G14" s="1" t="s">
        <v>15</v>
      </c>
      <c r="H14" s="1" t="str">
        <f t="shared" si="1"/>
        <v>Bills &amp; Utilities</v>
      </c>
      <c r="J14" s="14"/>
    </row>
    <row r="15" spans="1:17" ht="29" x14ac:dyDescent="0.35">
      <c r="A15" s="6">
        <v>45665</v>
      </c>
      <c r="B15" s="6" t="str">
        <f t="shared" si="0"/>
        <v>Jan</v>
      </c>
      <c r="C15" s="1" t="s">
        <v>28</v>
      </c>
      <c r="D15" s="9">
        <v>2000</v>
      </c>
      <c r="E15" s="1" t="s">
        <v>11</v>
      </c>
      <c r="F15" s="1" t="s">
        <v>13</v>
      </c>
      <c r="G15" s="1" t="s">
        <v>29</v>
      </c>
      <c r="H15" s="1" t="str">
        <f t="shared" si="1"/>
        <v>Uncategorized</v>
      </c>
      <c r="J15" s="14"/>
    </row>
    <row r="16" spans="1:17" ht="29" x14ac:dyDescent="0.35">
      <c r="A16" s="6">
        <v>45666</v>
      </c>
      <c r="B16" s="6" t="str">
        <f t="shared" si="0"/>
        <v>Jan</v>
      </c>
      <c r="C16" s="1" t="s">
        <v>30</v>
      </c>
      <c r="D16" s="9">
        <v>860</v>
      </c>
      <c r="E16" s="1" t="s">
        <v>11</v>
      </c>
      <c r="F16" s="1" t="s">
        <v>13</v>
      </c>
      <c r="G16" s="1" t="s">
        <v>16</v>
      </c>
      <c r="H16" s="1" t="str">
        <f t="shared" si="1"/>
        <v>Uncategorized</v>
      </c>
      <c r="J16" s="14"/>
    </row>
    <row r="17" spans="1:10" x14ac:dyDescent="0.35">
      <c r="A17" s="6">
        <v>45666</v>
      </c>
      <c r="B17" s="6" t="str">
        <f t="shared" si="0"/>
        <v>Jan</v>
      </c>
      <c r="C17" s="1" t="s">
        <v>31</v>
      </c>
      <c r="D17" s="9">
        <v>740</v>
      </c>
      <c r="E17" s="1" t="s">
        <v>11</v>
      </c>
      <c r="F17" s="1" t="s">
        <v>13</v>
      </c>
      <c r="G17" s="1" t="s">
        <v>15</v>
      </c>
      <c r="H17" s="1" t="str">
        <f t="shared" si="1"/>
        <v>Food &amp; Dining</v>
      </c>
      <c r="J17" s="14"/>
    </row>
    <row r="18" spans="1:10" x14ac:dyDescent="0.35">
      <c r="A18" s="6">
        <v>45667</v>
      </c>
      <c r="B18" s="6" t="str">
        <f t="shared" si="0"/>
        <v>Jan</v>
      </c>
      <c r="C18" s="1" t="s">
        <v>32</v>
      </c>
      <c r="D18" s="9">
        <v>680</v>
      </c>
      <c r="E18" s="1" t="s">
        <v>11</v>
      </c>
      <c r="F18" s="1" t="s">
        <v>14</v>
      </c>
      <c r="G18" s="1" t="s">
        <v>23</v>
      </c>
      <c r="H18" s="1" t="str">
        <f t="shared" si="1"/>
        <v>Food &amp; Dining</v>
      </c>
      <c r="J18" s="14"/>
    </row>
    <row r="19" spans="1:10" ht="29" x14ac:dyDescent="0.35">
      <c r="A19" s="6">
        <v>45667</v>
      </c>
      <c r="B19" s="6" t="str">
        <f t="shared" si="0"/>
        <v>Jan</v>
      </c>
      <c r="C19" s="1" t="s">
        <v>33</v>
      </c>
      <c r="D19" s="9">
        <v>1499</v>
      </c>
      <c r="E19" s="1" t="s">
        <v>11</v>
      </c>
      <c r="F19" s="1" t="s">
        <v>14</v>
      </c>
      <c r="G19" s="1" t="s">
        <v>20</v>
      </c>
      <c r="H19" s="1" t="str">
        <f t="shared" si="1"/>
        <v>Entertainment</v>
      </c>
      <c r="J19" s="14"/>
    </row>
    <row r="20" spans="1:10" x14ac:dyDescent="0.35">
      <c r="A20" s="6">
        <v>45668</v>
      </c>
      <c r="B20" s="6" t="str">
        <f t="shared" si="0"/>
        <v>Jan</v>
      </c>
      <c r="C20" s="1" t="s">
        <v>34</v>
      </c>
      <c r="D20" s="9">
        <v>140</v>
      </c>
      <c r="E20" s="1" t="s">
        <v>11</v>
      </c>
      <c r="F20" s="1" t="s">
        <v>13</v>
      </c>
      <c r="G20" s="1" t="s">
        <v>15</v>
      </c>
      <c r="H20" s="1" t="str">
        <f t="shared" si="1"/>
        <v>Transport</v>
      </c>
      <c r="J20" s="14"/>
    </row>
    <row r="21" spans="1:10" ht="29" x14ac:dyDescent="0.35">
      <c r="A21" s="6">
        <v>45668</v>
      </c>
      <c r="B21" s="6" t="str">
        <f t="shared" si="0"/>
        <v>Jan</v>
      </c>
      <c r="C21" s="1" t="s">
        <v>10</v>
      </c>
      <c r="D21" s="9">
        <v>1750</v>
      </c>
      <c r="E21" s="1" t="s">
        <v>11</v>
      </c>
      <c r="F21" s="1" t="s">
        <v>13</v>
      </c>
      <c r="G21" s="1" t="s">
        <v>15</v>
      </c>
      <c r="H21" s="1" t="str">
        <f t="shared" si="1"/>
        <v>Bills &amp; Utilities</v>
      </c>
      <c r="J21" s="14"/>
    </row>
    <row r="22" spans="1:10" ht="29" x14ac:dyDescent="0.35">
      <c r="A22" s="6">
        <v>45669</v>
      </c>
      <c r="B22" s="6" t="str">
        <f t="shared" si="0"/>
        <v>Jan</v>
      </c>
      <c r="C22" s="1" t="s">
        <v>35</v>
      </c>
      <c r="D22" s="9">
        <v>950</v>
      </c>
      <c r="E22" s="1" t="s">
        <v>11</v>
      </c>
      <c r="F22" s="1" t="s">
        <v>13</v>
      </c>
      <c r="G22" s="1" t="s">
        <v>23</v>
      </c>
      <c r="H22" s="1" t="str">
        <f t="shared" si="1"/>
        <v>Health</v>
      </c>
      <c r="J22" s="14"/>
    </row>
    <row r="23" spans="1:10" x14ac:dyDescent="0.35">
      <c r="A23" s="6">
        <v>45669</v>
      </c>
      <c r="B23" s="6" t="str">
        <f t="shared" si="0"/>
        <v>Jan</v>
      </c>
      <c r="C23" s="1" t="s">
        <v>36</v>
      </c>
      <c r="D23" s="9">
        <v>610</v>
      </c>
      <c r="E23" s="1" t="s">
        <v>11</v>
      </c>
      <c r="F23" s="1" t="s">
        <v>13</v>
      </c>
      <c r="G23" s="1" t="s">
        <v>15</v>
      </c>
      <c r="H23" s="1" t="str">
        <f t="shared" si="1"/>
        <v>Groceries</v>
      </c>
      <c r="J23" s="14"/>
    </row>
    <row r="24" spans="1:10" x14ac:dyDescent="0.35">
      <c r="A24" s="6">
        <v>45670</v>
      </c>
      <c r="B24" s="6" t="str">
        <f t="shared" si="0"/>
        <v>Jan</v>
      </c>
      <c r="C24" s="1" t="s">
        <v>9</v>
      </c>
      <c r="D24" s="9">
        <v>45000</v>
      </c>
      <c r="E24" s="1" t="s">
        <v>12</v>
      </c>
      <c r="F24" s="1" t="s">
        <v>13</v>
      </c>
      <c r="G24" s="1" t="s">
        <v>17</v>
      </c>
      <c r="H24" s="1" t="str">
        <f t="shared" si="1"/>
        <v>Income</v>
      </c>
      <c r="J24" s="14"/>
    </row>
    <row r="25" spans="1:10" ht="29" x14ac:dyDescent="0.35">
      <c r="A25" s="6">
        <v>45670</v>
      </c>
      <c r="B25" s="6" t="str">
        <f t="shared" si="0"/>
        <v>Jan</v>
      </c>
      <c r="C25" s="1" t="s">
        <v>37</v>
      </c>
      <c r="D25" s="9">
        <v>3200</v>
      </c>
      <c r="E25" s="1" t="s">
        <v>11</v>
      </c>
      <c r="F25" s="1" t="s">
        <v>13</v>
      </c>
      <c r="G25" s="1" t="s">
        <v>20</v>
      </c>
      <c r="H25" s="1" t="str">
        <f t="shared" si="1"/>
        <v>Uncategorized</v>
      </c>
      <c r="J25" s="14"/>
    </row>
    <row r="26" spans="1:10" ht="29" x14ac:dyDescent="0.35">
      <c r="A26" s="6">
        <v>45671</v>
      </c>
      <c r="B26" s="6" t="str">
        <f t="shared" si="0"/>
        <v>Jan</v>
      </c>
      <c r="C26" s="1" t="s">
        <v>38</v>
      </c>
      <c r="D26" s="9">
        <v>520</v>
      </c>
      <c r="E26" s="1" t="s">
        <v>11</v>
      </c>
      <c r="F26" s="1" t="s">
        <v>14</v>
      </c>
      <c r="G26" s="1" t="s">
        <v>16</v>
      </c>
      <c r="H26" s="1" t="str">
        <f t="shared" si="1"/>
        <v>Uncategorized</v>
      </c>
      <c r="J26" s="14"/>
    </row>
    <row r="27" spans="1:10" x14ac:dyDescent="0.35">
      <c r="A27" s="6">
        <v>45671</v>
      </c>
      <c r="B27" s="6" t="str">
        <f t="shared" si="0"/>
        <v>Jan</v>
      </c>
      <c r="C27" s="1" t="s">
        <v>39</v>
      </c>
      <c r="D27" s="9">
        <v>420</v>
      </c>
      <c r="E27" s="1" t="s">
        <v>11</v>
      </c>
      <c r="F27" s="1" t="s">
        <v>13</v>
      </c>
      <c r="G27" s="1" t="s">
        <v>23</v>
      </c>
      <c r="H27" s="1" t="str">
        <f t="shared" si="1"/>
        <v>Food &amp; Dining</v>
      </c>
      <c r="J27" s="14"/>
    </row>
    <row r="28" spans="1:10" x14ac:dyDescent="0.35">
      <c r="A28" s="6">
        <v>45672</v>
      </c>
      <c r="B28" s="6" t="str">
        <f t="shared" si="0"/>
        <v>Jan</v>
      </c>
      <c r="C28" s="1" t="s">
        <v>18</v>
      </c>
      <c r="D28" s="9">
        <v>510</v>
      </c>
      <c r="E28" s="1" t="s">
        <v>11</v>
      </c>
      <c r="F28" s="1" t="s">
        <v>13</v>
      </c>
      <c r="G28" s="1" t="s">
        <v>15</v>
      </c>
      <c r="H28" s="1" t="str">
        <f t="shared" si="1"/>
        <v>Food &amp; Dining</v>
      </c>
      <c r="J28" s="14"/>
    </row>
    <row r="29" spans="1:10" x14ac:dyDescent="0.35">
      <c r="A29" s="6">
        <v>45672</v>
      </c>
      <c r="B29" s="6" t="str">
        <f t="shared" si="0"/>
        <v>Jan</v>
      </c>
      <c r="C29" s="1" t="s">
        <v>40</v>
      </c>
      <c r="D29" s="9">
        <v>2150</v>
      </c>
      <c r="E29" s="1" t="s">
        <v>11</v>
      </c>
      <c r="F29" s="1" t="s">
        <v>14</v>
      </c>
      <c r="G29" s="1" t="s">
        <v>16</v>
      </c>
      <c r="H29" s="1" t="str">
        <f t="shared" si="1"/>
        <v>Shopping</v>
      </c>
      <c r="J29" s="14"/>
    </row>
    <row r="30" spans="1:10" x14ac:dyDescent="0.35">
      <c r="A30" s="6">
        <v>45673</v>
      </c>
      <c r="B30" s="6" t="str">
        <f t="shared" si="0"/>
        <v>Jan</v>
      </c>
      <c r="C30" s="1" t="s">
        <v>24</v>
      </c>
      <c r="D30" s="9">
        <v>330</v>
      </c>
      <c r="E30" s="1" t="s">
        <v>11</v>
      </c>
      <c r="F30" s="1" t="s">
        <v>13</v>
      </c>
      <c r="G30" s="1" t="s">
        <v>15</v>
      </c>
      <c r="H30" s="1" t="str">
        <f t="shared" si="1"/>
        <v>Transport</v>
      </c>
      <c r="J30" s="14"/>
    </row>
    <row r="31" spans="1:10" x14ac:dyDescent="0.35">
      <c r="A31" s="6">
        <v>45673</v>
      </c>
      <c r="B31" s="6" t="str">
        <f t="shared" si="0"/>
        <v>Jan</v>
      </c>
      <c r="C31" s="1" t="s">
        <v>41</v>
      </c>
      <c r="D31" s="9">
        <v>1890</v>
      </c>
      <c r="E31" s="1" t="s">
        <v>11</v>
      </c>
      <c r="F31" s="1" t="s">
        <v>13</v>
      </c>
      <c r="G31" s="1" t="s">
        <v>16</v>
      </c>
      <c r="H31" s="1" t="str">
        <f t="shared" si="1"/>
        <v>Groceries</v>
      </c>
      <c r="J31" s="14"/>
    </row>
    <row r="32" spans="1:10" ht="29" x14ac:dyDescent="0.35">
      <c r="A32" s="6">
        <v>45674</v>
      </c>
      <c r="B32" s="6" t="str">
        <f t="shared" si="0"/>
        <v>Jan</v>
      </c>
      <c r="C32" s="1" t="s">
        <v>19</v>
      </c>
      <c r="D32" s="9">
        <v>649</v>
      </c>
      <c r="E32" s="1" t="s">
        <v>11</v>
      </c>
      <c r="F32" s="1" t="s">
        <v>14</v>
      </c>
      <c r="G32" s="1" t="s">
        <v>20</v>
      </c>
      <c r="H32" s="1" t="str">
        <f t="shared" si="1"/>
        <v>Entertainment</v>
      </c>
      <c r="J32" s="14"/>
    </row>
    <row r="33" spans="1:10" x14ac:dyDescent="0.35">
      <c r="A33" s="6">
        <v>45674</v>
      </c>
      <c r="B33" s="6" t="str">
        <f t="shared" si="0"/>
        <v>Jan</v>
      </c>
      <c r="C33" s="1" t="s">
        <v>22</v>
      </c>
      <c r="D33" s="9">
        <v>1400</v>
      </c>
      <c r="E33" s="1" t="s">
        <v>11</v>
      </c>
      <c r="F33" s="1" t="s">
        <v>13</v>
      </c>
      <c r="G33" s="1" t="s">
        <v>23</v>
      </c>
      <c r="H33" s="1" t="str">
        <f t="shared" si="1"/>
        <v>Transport</v>
      </c>
      <c r="J33" s="14"/>
    </row>
    <row r="34" spans="1:10" ht="29" x14ac:dyDescent="0.35">
      <c r="A34" s="6">
        <v>45675</v>
      </c>
      <c r="B34" s="6" t="str">
        <f t="shared" ref="B34:B65" si="2">TEXT(A34,"mmm")</f>
        <v>Jan</v>
      </c>
      <c r="C34" s="1" t="s">
        <v>27</v>
      </c>
      <c r="D34" s="9">
        <v>299</v>
      </c>
      <c r="E34" s="1" t="s">
        <v>11</v>
      </c>
      <c r="F34" s="1" t="s">
        <v>13</v>
      </c>
      <c r="G34" s="1" t="s">
        <v>15</v>
      </c>
      <c r="H34" s="1" t="str">
        <f t="shared" ref="H34:H65" si="3" xml:space="preserve"> IF(OR(ISNUMBER(SEARCH("zomato",C34)),ISNUMBER(SEARCH("swiggy",C34)),ISNUMBER(SEARCH("pizza",C34)),ISNUMBER(SEARCH("cafe",C34)),ISNUMBER(SEARCH("coffee",C34)),ISNUMBER(SEARCH("restaurant",C34)),ISNUMBER(SEARCH("starbucks",C34))),"Food &amp; Dining",
IF(OR(ISNUMBER(SEARCH("grocery",C34)),ISNUMBER(SEARCH("mart",C34)),ISNUMBER(SEARCH("supermarket",C34))),"Groceries",
IF(OR(ISNUMBER(SEARCH("netflix",C34)),ISNUMBER(SEARCH("spotify",C34)),ISNUMBER(SEARCH("prime",C34)),ISNUMBER(SEARCH("hotstar",C34))),"Entertainment",
IF(OR(ISNUMBER(SEARCH("uber",C34)),ISNUMBER(SEARCH("ola",C34)),ISNUMBER(SEARCH("petrol",C34)),ISNUMBER(SEARCH("fuel",C34))),"Transport",
IF(OR(ISNUMBER(SEARCH("amazon",C34)),ISNUMBER(SEARCH("flipkart",C34))),"Shopping",
IF(OR(ISNUMBER(SEARCH("electricity",C34)),ISNUMBER(SEARCH("gas",C34)),ISNUMBER(SEARCH("recharge",C34)),ISNUMBER(SEARCH("broadband",C34))),"Bills &amp; Utilities",
IF(OR(ISNUMBER(SEARCH("transfer",C34)),ISNUMBER(SEARCH("upi",C34)),ISNUMBER(SEARCH("sent",C34))),"Transfers",
IF(OR(ISNUMBER(SEARCH("salary",C34)),ISNUMBER(SEARCH("refund",C34)),ISNUMBER(SEARCH("cashback",C34))),"Income",
IF(OR(ISNUMBER(SEARCH("medical",C34)),ISNUMBER(SEARCH("pharmacy",C34)),ISNUMBER(SEARCH("hospital",C34)),ISNUMBER(SEARCH("clinic",C34)),ISNUMBER(SEARCH("doctor",C34))),"Health",
"Uncategorized")))))))))</f>
        <v>Bills &amp; Utilities</v>
      </c>
      <c r="J34" s="14"/>
    </row>
    <row r="35" spans="1:10" x14ac:dyDescent="0.35">
      <c r="A35" s="6">
        <v>45675</v>
      </c>
      <c r="B35" s="6" t="str">
        <f t="shared" si="2"/>
        <v>Jan</v>
      </c>
      <c r="C35" s="1" t="s">
        <v>32</v>
      </c>
      <c r="D35" s="9">
        <v>720</v>
      </c>
      <c r="E35" s="1" t="s">
        <v>11</v>
      </c>
      <c r="F35" s="1" t="s">
        <v>14</v>
      </c>
      <c r="G35" s="1" t="s">
        <v>23</v>
      </c>
      <c r="H35" s="1" t="str">
        <f t="shared" si="3"/>
        <v>Food &amp; Dining</v>
      </c>
      <c r="J35" s="14"/>
    </row>
    <row r="36" spans="1:10" ht="29" x14ac:dyDescent="0.35">
      <c r="A36" s="6">
        <v>45676</v>
      </c>
      <c r="B36" s="6" t="str">
        <f t="shared" si="2"/>
        <v>Jan</v>
      </c>
      <c r="C36" s="1" t="s">
        <v>35</v>
      </c>
      <c r="D36" s="9">
        <v>780</v>
      </c>
      <c r="E36" s="1" t="s">
        <v>11</v>
      </c>
      <c r="F36" s="1" t="s">
        <v>13</v>
      </c>
      <c r="G36" s="1" t="s">
        <v>23</v>
      </c>
      <c r="H36" s="1" t="str">
        <f t="shared" si="3"/>
        <v>Health</v>
      </c>
      <c r="J36" s="14"/>
    </row>
    <row r="37" spans="1:10" x14ac:dyDescent="0.35">
      <c r="A37" s="6">
        <v>45676</v>
      </c>
      <c r="B37" s="6" t="str">
        <f t="shared" si="2"/>
        <v>Jan</v>
      </c>
      <c r="C37" s="1" t="s">
        <v>31</v>
      </c>
      <c r="D37" s="9">
        <v>630</v>
      </c>
      <c r="E37" s="1" t="s">
        <v>11</v>
      </c>
      <c r="F37" s="1" t="s">
        <v>13</v>
      </c>
      <c r="G37" s="1" t="s">
        <v>15</v>
      </c>
      <c r="H37" s="1" t="str">
        <f t="shared" si="3"/>
        <v>Food &amp; Dining</v>
      </c>
      <c r="J37" s="14"/>
    </row>
    <row r="38" spans="1:10" x14ac:dyDescent="0.35">
      <c r="A38" s="6">
        <v>45677</v>
      </c>
      <c r="B38" s="6" t="str">
        <f t="shared" si="2"/>
        <v>Jan</v>
      </c>
      <c r="C38" s="1" t="s">
        <v>9</v>
      </c>
      <c r="D38" s="9">
        <v>45000</v>
      </c>
      <c r="E38" s="1" t="s">
        <v>12</v>
      </c>
      <c r="F38" s="1" t="s">
        <v>13</v>
      </c>
      <c r="G38" s="1" t="s">
        <v>17</v>
      </c>
      <c r="H38" s="1" t="str">
        <f t="shared" si="3"/>
        <v>Income</v>
      </c>
      <c r="J38" s="14"/>
    </row>
    <row r="39" spans="1:10" x14ac:dyDescent="0.35">
      <c r="A39" s="6">
        <v>45678</v>
      </c>
      <c r="B39" s="6" t="str">
        <f t="shared" si="2"/>
        <v>Jan</v>
      </c>
      <c r="C39" s="1" t="s">
        <v>18</v>
      </c>
      <c r="D39" s="9">
        <v>480</v>
      </c>
      <c r="E39" s="1" t="s">
        <v>11</v>
      </c>
      <c r="F39" s="1" t="s">
        <v>13</v>
      </c>
      <c r="G39" s="1" t="s">
        <v>15</v>
      </c>
      <c r="H39" s="1" t="str">
        <f t="shared" si="3"/>
        <v>Food &amp; Dining</v>
      </c>
      <c r="J39" s="14"/>
    </row>
    <row r="40" spans="1:10" x14ac:dyDescent="0.35">
      <c r="A40" s="6">
        <v>45678</v>
      </c>
      <c r="B40" s="6" t="str">
        <f t="shared" si="2"/>
        <v>Jan</v>
      </c>
      <c r="C40" s="1" t="s">
        <v>6</v>
      </c>
      <c r="D40" s="9">
        <v>310</v>
      </c>
      <c r="E40" s="1" t="s">
        <v>11</v>
      </c>
      <c r="F40" s="1" t="s">
        <v>13</v>
      </c>
      <c r="G40" s="1" t="s">
        <v>15</v>
      </c>
      <c r="H40" s="1" t="str">
        <f t="shared" si="3"/>
        <v>Transport</v>
      </c>
      <c r="J40" s="14"/>
    </row>
    <row r="41" spans="1:10" x14ac:dyDescent="0.35">
      <c r="A41" s="6">
        <v>45679</v>
      </c>
      <c r="B41" s="6" t="str">
        <f t="shared" si="2"/>
        <v>Jan</v>
      </c>
      <c r="C41" s="1" t="s">
        <v>7</v>
      </c>
      <c r="D41" s="9">
        <v>620</v>
      </c>
      <c r="E41" s="1" t="s">
        <v>11</v>
      </c>
      <c r="F41" s="1" t="s">
        <v>13</v>
      </c>
      <c r="G41" s="1" t="s">
        <v>15</v>
      </c>
      <c r="H41" s="1" t="str">
        <f t="shared" si="3"/>
        <v>Food &amp; Dining</v>
      </c>
    </row>
    <row r="42" spans="1:10" x14ac:dyDescent="0.35">
      <c r="A42" s="6">
        <v>45679</v>
      </c>
      <c r="B42" s="6" t="str">
        <f t="shared" si="2"/>
        <v>Jan</v>
      </c>
      <c r="C42" s="1" t="s">
        <v>22</v>
      </c>
      <c r="D42" s="9">
        <v>1450</v>
      </c>
      <c r="E42" s="1" t="s">
        <v>11</v>
      </c>
      <c r="F42" s="1" t="s">
        <v>13</v>
      </c>
      <c r="G42" s="1" t="s">
        <v>23</v>
      </c>
      <c r="H42" s="1" t="str">
        <f t="shared" si="3"/>
        <v>Transport</v>
      </c>
    </row>
    <row r="43" spans="1:10" x14ac:dyDescent="0.35">
      <c r="A43" s="6">
        <v>45680</v>
      </c>
      <c r="B43" s="6" t="str">
        <f t="shared" si="2"/>
        <v>Jan</v>
      </c>
      <c r="C43" s="1" t="s">
        <v>41</v>
      </c>
      <c r="D43" s="9">
        <v>1750</v>
      </c>
      <c r="E43" s="1" t="s">
        <v>11</v>
      </c>
      <c r="F43" s="1" t="s">
        <v>13</v>
      </c>
      <c r="G43" s="1" t="s">
        <v>16</v>
      </c>
      <c r="H43" s="1" t="str">
        <f t="shared" si="3"/>
        <v>Groceries</v>
      </c>
    </row>
    <row r="44" spans="1:10" x14ac:dyDescent="0.35">
      <c r="A44" s="6">
        <v>45680</v>
      </c>
      <c r="B44" s="6" t="str">
        <f t="shared" si="2"/>
        <v>Jan</v>
      </c>
      <c r="C44" s="1" t="s">
        <v>40</v>
      </c>
      <c r="D44" s="9">
        <v>2850</v>
      </c>
      <c r="E44" s="1" t="s">
        <v>11</v>
      </c>
      <c r="F44" s="1" t="s">
        <v>14</v>
      </c>
      <c r="G44" s="1" t="s">
        <v>16</v>
      </c>
      <c r="H44" s="1" t="str">
        <f t="shared" si="3"/>
        <v>Shopping</v>
      </c>
    </row>
    <row r="45" spans="1:10" ht="29" x14ac:dyDescent="0.35">
      <c r="A45" s="6">
        <v>45681</v>
      </c>
      <c r="B45" s="6" t="str">
        <f t="shared" si="2"/>
        <v>Jan</v>
      </c>
      <c r="C45" s="1" t="s">
        <v>19</v>
      </c>
      <c r="D45" s="9">
        <v>649</v>
      </c>
      <c r="E45" s="1" t="s">
        <v>11</v>
      </c>
      <c r="F45" s="1" t="s">
        <v>14</v>
      </c>
      <c r="G45" s="1" t="s">
        <v>20</v>
      </c>
      <c r="H45" s="1" t="str">
        <f t="shared" si="3"/>
        <v>Entertainment</v>
      </c>
    </row>
    <row r="46" spans="1:10" x14ac:dyDescent="0.35">
      <c r="A46" s="6">
        <v>45681</v>
      </c>
      <c r="B46" s="6" t="str">
        <f t="shared" si="2"/>
        <v>Jan</v>
      </c>
      <c r="C46" s="1" t="s">
        <v>24</v>
      </c>
      <c r="D46" s="9">
        <v>290</v>
      </c>
      <c r="E46" s="1" t="s">
        <v>11</v>
      </c>
      <c r="F46" s="1" t="s">
        <v>13</v>
      </c>
      <c r="G46" s="1" t="s">
        <v>15</v>
      </c>
      <c r="H46" s="1" t="str">
        <f t="shared" si="3"/>
        <v>Transport</v>
      </c>
    </row>
    <row r="47" spans="1:10" ht="29" x14ac:dyDescent="0.35">
      <c r="A47" s="6">
        <v>45682</v>
      </c>
      <c r="B47" s="6" t="str">
        <f t="shared" si="2"/>
        <v>Jan</v>
      </c>
      <c r="C47" s="1" t="s">
        <v>27</v>
      </c>
      <c r="D47" s="9">
        <v>299</v>
      </c>
      <c r="E47" s="1" t="s">
        <v>11</v>
      </c>
      <c r="F47" s="1" t="s">
        <v>13</v>
      </c>
      <c r="G47" s="1" t="s">
        <v>15</v>
      </c>
      <c r="H47" s="1" t="str">
        <f t="shared" si="3"/>
        <v>Bills &amp; Utilities</v>
      </c>
    </row>
    <row r="48" spans="1:10" x14ac:dyDescent="0.35">
      <c r="A48" s="6">
        <v>45682</v>
      </c>
      <c r="B48" s="6" t="str">
        <f t="shared" si="2"/>
        <v>Jan</v>
      </c>
      <c r="C48" s="1" t="s">
        <v>31</v>
      </c>
      <c r="D48" s="9">
        <v>540</v>
      </c>
      <c r="E48" s="1" t="s">
        <v>11</v>
      </c>
      <c r="F48" s="1" t="s">
        <v>13</v>
      </c>
      <c r="G48" s="1" t="s">
        <v>15</v>
      </c>
      <c r="H48" s="1" t="str">
        <f t="shared" si="3"/>
        <v>Food &amp; Dining</v>
      </c>
    </row>
    <row r="49" spans="1:8" x14ac:dyDescent="0.35">
      <c r="A49" s="6">
        <v>45683</v>
      </c>
      <c r="B49" s="6" t="str">
        <f t="shared" si="2"/>
        <v>Jan</v>
      </c>
      <c r="C49" s="1" t="s">
        <v>32</v>
      </c>
      <c r="D49" s="9">
        <v>760</v>
      </c>
      <c r="E49" s="1" t="s">
        <v>11</v>
      </c>
      <c r="F49" s="1" t="s">
        <v>14</v>
      </c>
      <c r="G49" s="1" t="s">
        <v>23</v>
      </c>
      <c r="H49" s="1" t="str">
        <f t="shared" si="3"/>
        <v>Food &amp; Dining</v>
      </c>
    </row>
    <row r="50" spans="1:8" ht="29" x14ac:dyDescent="0.35">
      <c r="A50" s="6">
        <v>45683</v>
      </c>
      <c r="B50" s="6" t="str">
        <f t="shared" si="2"/>
        <v>Jan</v>
      </c>
      <c r="C50" s="1" t="s">
        <v>35</v>
      </c>
      <c r="D50" s="9">
        <v>880</v>
      </c>
      <c r="E50" s="1" t="s">
        <v>11</v>
      </c>
      <c r="F50" s="1" t="s">
        <v>13</v>
      </c>
      <c r="G50" s="1" t="s">
        <v>23</v>
      </c>
      <c r="H50" s="1" t="str">
        <f t="shared" si="3"/>
        <v>Health</v>
      </c>
    </row>
    <row r="51" spans="1:8" x14ac:dyDescent="0.35">
      <c r="A51" s="6">
        <v>45684</v>
      </c>
      <c r="B51" s="6" t="str">
        <f t="shared" si="2"/>
        <v>Jan</v>
      </c>
      <c r="C51" s="1" t="s">
        <v>34</v>
      </c>
      <c r="D51" s="9">
        <v>150</v>
      </c>
      <c r="E51" s="1" t="s">
        <v>11</v>
      </c>
      <c r="F51" s="1" t="s">
        <v>13</v>
      </c>
      <c r="G51" s="1" t="s">
        <v>15</v>
      </c>
      <c r="H51" s="1" t="str">
        <f t="shared" si="3"/>
        <v>Transport</v>
      </c>
    </row>
    <row r="52" spans="1:8" ht="29" x14ac:dyDescent="0.35">
      <c r="A52" s="6">
        <v>45684</v>
      </c>
      <c r="B52" s="6" t="str">
        <f t="shared" si="2"/>
        <v>Jan</v>
      </c>
      <c r="C52" s="1" t="s">
        <v>10</v>
      </c>
      <c r="D52" s="9">
        <v>1820</v>
      </c>
      <c r="E52" s="1" t="s">
        <v>11</v>
      </c>
      <c r="F52" s="1" t="s">
        <v>13</v>
      </c>
      <c r="G52" s="1" t="s">
        <v>15</v>
      </c>
      <c r="H52" s="1" t="str">
        <f t="shared" si="3"/>
        <v>Bills &amp; Utilities</v>
      </c>
    </row>
    <row r="53" spans="1:8" x14ac:dyDescent="0.35">
      <c r="A53" s="6">
        <v>45685</v>
      </c>
      <c r="B53" s="6" t="str">
        <f t="shared" si="2"/>
        <v>Jan</v>
      </c>
      <c r="C53" s="1" t="s">
        <v>36</v>
      </c>
      <c r="D53" s="9">
        <v>690</v>
      </c>
      <c r="E53" s="1" t="s">
        <v>11</v>
      </c>
      <c r="F53" s="1" t="s">
        <v>13</v>
      </c>
      <c r="G53" s="1" t="s">
        <v>15</v>
      </c>
      <c r="H53" s="1" t="str">
        <f t="shared" si="3"/>
        <v>Groceries</v>
      </c>
    </row>
    <row r="54" spans="1:8" ht="29" x14ac:dyDescent="0.35">
      <c r="A54" s="6">
        <v>45685</v>
      </c>
      <c r="B54" s="6" t="str">
        <f t="shared" si="2"/>
        <v>Jan</v>
      </c>
      <c r="C54" s="1" t="s">
        <v>33</v>
      </c>
      <c r="D54" s="9">
        <v>1499</v>
      </c>
      <c r="E54" s="1" t="s">
        <v>11</v>
      </c>
      <c r="F54" s="1" t="s">
        <v>14</v>
      </c>
      <c r="G54" s="1" t="s">
        <v>20</v>
      </c>
      <c r="H54" s="1" t="str">
        <f t="shared" si="3"/>
        <v>Entertainment</v>
      </c>
    </row>
    <row r="55" spans="1:8" x14ac:dyDescent="0.35">
      <c r="A55" s="6">
        <v>45686</v>
      </c>
      <c r="B55" s="6" t="str">
        <f t="shared" si="2"/>
        <v>Jan</v>
      </c>
      <c r="C55" s="1" t="s">
        <v>39</v>
      </c>
      <c r="D55" s="9">
        <v>460</v>
      </c>
      <c r="E55" s="1" t="s">
        <v>11</v>
      </c>
      <c r="F55" s="1" t="s">
        <v>13</v>
      </c>
      <c r="G55" s="1" t="s">
        <v>23</v>
      </c>
      <c r="H55" s="1" t="str">
        <f t="shared" si="3"/>
        <v>Food &amp; Dining</v>
      </c>
    </row>
    <row r="56" spans="1:8" ht="29" x14ac:dyDescent="0.35">
      <c r="A56" s="6">
        <v>45686</v>
      </c>
      <c r="B56" s="6" t="str">
        <f t="shared" si="2"/>
        <v>Jan</v>
      </c>
      <c r="C56" s="1" t="s">
        <v>38</v>
      </c>
      <c r="D56" s="9">
        <v>560</v>
      </c>
      <c r="E56" s="1" t="s">
        <v>11</v>
      </c>
      <c r="F56" s="1" t="s">
        <v>14</v>
      </c>
      <c r="G56" s="1" t="s">
        <v>16</v>
      </c>
      <c r="H56" s="1" t="str">
        <f t="shared" si="3"/>
        <v>Uncategorized</v>
      </c>
    </row>
    <row r="57" spans="1:8" x14ac:dyDescent="0.35">
      <c r="A57" s="6">
        <v>45687</v>
      </c>
      <c r="B57" s="6" t="str">
        <f t="shared" si="2"/>
        <v>Jan</v>
      </c>
      <c r="C57" s="1" t="s">
        <v>22</v>
      </c>
      <c r="D57" s="9">
        <v>1520</v>
      </c>
      <c r="E57" s="1" t="s">
        <v>11</v>
      </c>
      <c r="F57" s="1" t="s">
        <v>13</v>
      </c>
      <c r="G57" s="1" t="s">
        <v>23</v>
      </c>
      <c r="H57" s="1" t="str">
        <f t="shared" si="3"/>
        <v>Transport</v>
      </c>
    </row>
    <row r="58" spans="1:8" x14ac:dyDescent="0.35">
      <c r="A58" s="6">
        <v>45687</v>
      </c>
      <c r="B58" s="6" t="str">
        <f t="shared" si="2"/>
        <v>Jan</v>
      </c>
      <c r="C58" s="1" t="s">
        <v>18</v>
      </c>
      <c r="D58" s="9">
        <v>530</v>
      </c>
      <c r="E58" s="1" t="s">
        <v>11</v>
      </c>
      <c r="F58" s="1" t="s">
        <v>13</v>
      </c>
      <c r="G58" s="1" t="s">
        <v>15</v>
      </c>
      <c r="H58" s="1" t="str">
        <f t="shared" si="3"/>
        <v>Food &amp; Dining</v>
      </c>
    </row>
    <row r="59" spans="1:8" ht="29" x14ac:dyDescent="0.35">
      <c r="A59" s="6">
        <v>45688</v>
      </c>
      <c r="B59" s="6" t="str">
        <f t="shared" si="2"/>
        <v>Jan</v>
      </c>
      <c r="C59" s="1" t="s">
        <v>28</v>
      </c>
      <c r="D59" s="9">
        <v>3000</v>
      </c>
      <c r="E59" s="1" t="s">
        <v>11</v>
      </c>
      <c r="F59" s="1" t="s">
        <v>13</v>
      </c>
      <c r="G59" s="1" t="s">
        <v>29</v>
      </c>
      <c r="H59" s="1" t="str">
        <f t="shared" si="3"/>
        <v>Uncategorized</v>
      </c>
    </row>
    <row r="60" spans="1:8" x14ac:dyDescent="0.35">
      <c r="A60" s="6">
        <v>45688</v>
      </c>
      <c r="B60" s="6" t="str">
        <f t="shared" si="2"/>
        <v>Jan</v>
      </c>
      <c r="C60" s="1" t="s">
        <v>9</v>
      </c>
      <c r="D60" s="9">
        <v>45000</v>
      </c>
      <c r="E60" s="1" t="s">
        <v>12</v>
      </c>
      <c r="F60" s="1" t="s">
        <v>13</v>
      </c>
      <c r="G60" s="1" t="s">
        <v>17</v>
      </c>
      <c r="H60" s="1" t="str">
        <f t="shared" si="3"/>
        <v>Income</v>
      </c>
    </row>
    <row r="61" spans="1:8" x14ac:dyDescent="0.35">
      <c r="A61" s="6">
        <v>45689</v>
      </c>
      <c r="B61" s="6" t="str">
        <f t="shared" si="2"/>
        <v>Feb</v>
      </c>
      <c r="C61" s="1" t="s">
        <v>18</v>
      </c>
      <c r="D61" s="9">
        <v>520</v>
      </c>
      <c r="E61" s="1" t="s">
        <v>11</v>
      </c>
      <c r="F61" s="1" t="s">
        <v>13</v>
      </c>
      <c r="G61" s="1" t="s">
        <v>15</v>
      </c>
      <c r="H61" s="1" t="str">
        <f t="shared" si="3"/>
        <v>Food &amp; Dining</v>
      </c>
    </row>
    <row r="62" spans="1:8" x14ac:dyDescent="0.35">
      <c r="A62" s="6">
        <v>45689</v>
      </c>
      <c r="B62" s="6" t="str">
        <f t="shared" si="2"/>
        <v>Feb</v>
      </c>
      <c r="C62" s="1" t="s">
        <v>6</v>
      </c>
      <c r="D62" s="9">
        <v>300</v>
      </c>
      <c r="E62" s="1" t="s">
        <v>11</v>
      </c>
      <c r="F62" s="1" t="s">
        <v>13</v>
      </c>
      <c r="G62" s="1" t="s">
        <v>15</v>
      </c>
      <c r="H62" s="1" t="str">
        <f t="shared" si="3"/>
        <v>Transport</v>
      </c>
    </row>
    <row r="63" spans="1:8" x14ac:dyDescent="0.35">
      <c r="A63" s="6">
        <v>45690</v>
      </c>
      <c r="B63" s="6" t="str">
        <f t="shared" si="2"/>
        <v>Feb</v>
      </c>
      <c r="C63" s="1" t="s">
        <v>7</v>
      </c>
      <c r="D63" s="9">
        <v>640</v>
      </c>
      <c r="E63" s="1" t="s">
        <v>11</v>
      </c>
      <c r="F63" s="1" t="s">
        <v>13</v>
      </c>
      <c r="G63" s="1" t="s">
        <v>15</v>
      </c>
      <c r="H63" s="1" t="str">
        <f t="shared" si="3"/>
        <v>Food &amp; Dining</v>
      </c>
    </row>
    <row r="64" spans="1:8" x14ac:dyDescent="0.35">
      <c r="A64" s="6">
        <v>45690</v>
      </c>
      <c r="B64" s="6" t="str">
        <f t="shared" si="2"/>
        <v>Feb</v>
      </c>
      <c r="C64" s="1" t="s">
        <v>22</v>
      </c>
      <c r="D64" s="9">
        <v>1480</v>
      </c>
      <c r="E64" s="1" t="s">
        <v>11</v>
      </c>
      <c r="F64" s="1" t="s">
        <v>13</v>
      </c>
      <c r="G64" s="1" t="s">
        <v>23</v>
      </c>
      <c r="H64" s="1" t="str">
        <f t="shared" si="3"/>
        <v>Transport</v>
      </c>
    </row>
    <row r="65" spans="1:8" x14ac:dyDescent="0.35">
      <c r="A65" s="6">
        <v>45691</v>
      </c>
      <c r="B65" s="6" t="str">
        <f t="shared" si="2"/>
        <v>Feb</v>
      </c>
      <c r="C65" s="1" t="s">
        <v>41</v>
      </c>
      <c r="D65" s="9">
        <v>1820</v>
      </c>
      <c r="E65" s="1" t="s">
        <v>11</v>
      </c>
      <c r="F65" s="1" t="s">
        <v>13</v>
      </c>
      <c r="G65" s="1" t="s">
        <v>16</v>
      </c>
      <c r="H65" s="1" t="str">
        <f t="shared" si="3"/>
        <v>Groceries</v>
      </c>
    </row>
    <row r="66" spans="1:8" x14ac:dyDescent="0.35">
      <c r="A66" s="6">
        <v>45691</v>
      </c>
      <c r="B66" s="6" t="str">
        <f t="shared" ref="B66:B97" si="4">TEXT(A66,"mmm")</f>
        <v>Feb</v>
      </c>
      <c r="C66" s="1" t="s">
        <v>40</v>
      </c>
      <c r="D66" s="9">
        <v>1990</v>
      </c>
      <c r="E66" s="1" t="s">
        <v>11</v>
      </c>
      <c r="F66" s="1" t="s">
        <v>14</v>
      </c>
      <c r="G66" s="1" t="s">
        <v>16</v>
      </c>
      <c r="H66" s="1" t="str">
        <f t="shared" ref="H66:H97" si="5" xml:space="preserve"> IF(OR(ISNUMBER(SEARCH("zomato",C66)),ISNUMBER(SEARCH("swiggy",C66)),ISNUMBER(SEARCH("pizza",C66)),ISNUMBER(SEARCH("cafe",C66)),ISNUMBER(SEARCH("coffee",C66)),ISNUMBER(SEARCH("restaurant",C66)),ISNUMBER(SEARCH("starbucks",C66))),"Food &amp; Dining",
IF(OR(ISNUMBER(SEARCH("grocery",C66)),ISNUMBER(SEARCH("mart",C66)),ISNUMBER(SEARCH("supermarket",C66))),"Groceries",
IF(OR(ISNUMBER(SEARCH("netflix",C66)),ISNUMBER(SEARCH("spotify",C66)),ISNUMBER(SEARCH("prime",C66)),ISNUMBER(SEARCH("hotstar",C66))),"Entertainment",
IF(OR(ISNUMBER(SEARCH("uber",C66)),ISNUMBER(SEARCH("ola",C66)),ISNUMBER(SEARCH("petrol",C66)),ISNUMBER(SEARCH("fuel",C66))),"Transport",
IF(OR(ISNUMBER(SEARCH("amazon",C66)),ISNUMBER(SEARCH("flipkart",C66))),"Shopping",
IF(OR(ISNUMBER(SEARCH("electricity",C66)),ISNUMBER(SEARCH("gas",C66)),ISNUMBER(SEARCH("recharge",C66)),ISNUMBER(SEARCH("broadband",C66))),"Bills &amp; Utilities",
IF(OR(ISNUMBER(SEARCH("transfer",C66)),ISNUMBER(SEARCH("upi",C66)),ISNUMBER(SEARCH("sent",C66))),"Transfers",
IF(OR(ISNUMBER(SEARCH("salary",C66)),ISNUMBER(SEARCH("refund",C66)),ISNUMBER(SEARCH("cashback",C66))),"Income",
IF(OR(ISNUMBER(SEARCH("medical",C66)),ISNUMBER(SEARCH("pharmacy",C66)),ISNUMBER(SEARCH("hospital",C66)),ISNUMBER(SEARCH("clinic",C66)),ISNUMBER(SEARCH("doctor",C66))),"Health",
"Uncategorized")))))))))</f>
        <v>Shopping</v>
      </c>
    </row>
    <row r="67" spans="1:8" ht="29" x14ac:dyDescent="0.35">
      <c r="A67" s="6">
        <v>45692</v>
      </c>
      <c r="B67" s="6" t="str">
        <f t="shared" si="4"/>
        <v>Feb</v>
      </c>
      <c r="C67" s="1" t="s">
        <v>19</v>
      </c>
      <c r="D67" s="9">
        <v>649</v>
      </c>
      <c r="E67" s="1" t="s">
        <v>11</v>
      </c>
      <c r="F67" s="1" t="s">
        <v>14</v>
      </c>
      <c r="G67" s="1" t="s">
        <v>20</v>
      </c>
      <c r="H67" s="1" t="str">
        <f t="shared" si="5"/>
        <v>Entertainment</v>
      </c>
    </row>
    <row r="68" spans="1:8" x14ac:dyDescent="0.35">
      <c r="A68" s="6">
        <v>45692</v>
      </c>
      <c r="B68" s="6" t="str">
        <f t="shared" si="4"/>
        <v>Feb</v>
      </c>
      <c r="C68" s="1" t="s">
        <v>24</v>
      </c>
      <c r="D68" s="9">
        <v>310</v>
      </c>
      <c r="E68" s="1" t="s">
        <v>11</v>
      </c>
      <c r="F68" s="1" t="s">
        <v>13</v>
      </c>
      <c r="G68" s="1" t="s">
        <v>15</v>
      </c>
      <c r="H68" s="1" t="str">
        <f t="shared" si="5"/>
        <v>Transport</v>
      </c>
    </row>
    <row r="69" spans="1:8" ht="29" x14ac:dyDescent="0.35">
      <c r="A69" s="6">
        <v>45693</v>
      </c>
      <c r="B69" s="6" t="str">
        <f t="shared" si="4"/>
        <v>Feb</v>
      </c>
      <c r="C69" s="1" t="s">
        <v>27</v>
      </c>
      <c r="D69" s="9">
        <v>299</v>
      </c>
      <c r="E69" s="1" t="s">
        <v>11</v>
      </c>
      <c r="F69" s="1" t="s">
        <v>13</v>
      </c>
      <c r="G69" s="1" t="s">
        <v>15</v>
      </c>
      <c r="H69" s="1" t="str">
        <f t="shared" si="5"/>
        <v>Bills &amp; Utilities</v>
      </c>
    </row>
    <row r="70" spans="1:8" x14ac:dyDescent="0.35">
      <c r="A70" s="6">
        <v>45693</v>
      </c>
      <c r="B70" s="6" t="str">
        <f t="shared" si="4"/>
        <v>Feb</v>
      </c>
      <c r="C70" s="1" t="s">
        <v>31</v>
      </c>
      <c r="D70" s="9">
        <v>620</v>
      </c>
      <c r="E70" s="1" t="s">
        <v>11</v>
      </c>
      <c r="F70" s="1" t="s">
        <v>13</v>
      </c>
      <c r="G70" s="1" t="s">
        <v>15</v>
      </c>
      <c r="H70" s="1" t="str">
        <f t="shared" si="5"/>
        <v>Food &amp; Dining</v>
      </c>
    </row>
    <row r="71" spans="1:8" x14ac:dyDescent="0.35">
      <c r="A71" s="6">
        <v>45694</v>
      </c>
      <c r="B71" s="6" t="str">
        <f t="shared" si="4"/>
        <v>Feb</v>
      </c>
      <c r="C71" s="1" t="s">
        <v>32</v>
      </c>
      <c r="D71" s="9">
        <v>780</v>
      </c>
      <c r="E71" s="1" t="s">
        <v>11</v>
      </c>
      <c r="F71" s="1" t="s">
        <v>14</v>
      </c>
      <c r="G71" s="1" t="s">
        <v>23</v>
      </c>
      <c r="H71" s="1" t="str">
        <f t="shared" si="5"/>
        <v>Food &amp; Dining</v>
      </c>
    </row>
    <row r="72" spans="1:8" ht="29" x14ac:dyDescent="0.35">
      <c r="A72" s="6">
        <v>45694</v>
      </c>
      <c r="B72" s="6" t="str">
        <f t="shared" si="4"/>
        <v>Feb</v>
      </c>
      <c r="C72" s="1" t="s">
        <v>35</v>
      </c>
      <c r="D72" s="9">
        <v>920</v>
      </c>
      <c r="E72" s="1" t="s">
        <v>11</v>
      </c>
      <c r="F72" s="1" t="s">
        <v>13</v>
      </c>
      <c r="G72" s="1" t="s">
        <v>23</v>
      </c>
      <c r="H72" s="1" t="str">
        <f t="shared" si="5"/>
        <v>Health</v>
      </c>
    </row>
    <row r="73" spans="1:8" x14ac:dyDescent="0.35">
      <c r="A73" s="6">
        <v>45695</v>
      </c>
      <c r="B73" s="6" t="str">
        <f t="shared" si="4"/>
        <v>Feb</v>
      </c>
      <c r="C73" s="1" t="s">
        <v>34</v>
      </c>
      <c r="D73" s="9">
        <v>160</v>
      </c>
      <c r="E73" s="1" t="s">
        <v>11</v>
      </c>
      <c r="F73" s="1" t="s">
        <v>13</v>
      </c>
      <c r="G73" s="1" t="s">
        <v>15</v>
      </c>
      <c r="H73" s="1" t="str">
        <f t="shared" si="5"/>
        <v>Transport</v>
      </c>
    </row>
    <row r="74" spans="1:8" ht="29" x14ac:dyDescent="0.35">
      <c r="A74" s="6">
        <v>45695</v>
      </c>
      <c r="B74" s="6" t="str">
        <f t="shared" si="4"/>
        <v>Feb</v>
      </c>
      <c r="C74" s="1" t="s">
        <v>10</v>
      </c>
      <c r="D74" s="9">
        <v>1780</v>
      </c>
      <c r="E74" s="1" t="s">
        <v>11</v>
      </c>
      <c r="F74" s="1" t="s">
        <v>13</v>
      </c>
      <c r="G74" s="1" t="s">
        <v>15</v>
      </c>
      <c r="H74" s="1" t="str">
        <f t="shared" si="5"/>
        <v>Bills &amp; Utilities</v>
      </c>
    </row>
    <row r="75" spans="1:8" x14ac:dyDescent="0.35">
      <c r="A75" s="6">
        <v>45696</v>
      </c>
      <c r="B75" s="6" t="str">
        <f t="shared" si="4"/>
        <v>Feb</v>
      </c>
      <c r="C75" s="1" t="s">
        <v>36</v>
      </c>
      <c r="D75" s="9">
        <v>710</v>
      </c>
      <c r="E75" s="1" t="s">
        <v>11</v>
      </c>
      <c r="F75" s="1" t="s">
        <v>13</v>
      </c>
      <c r="G75" s="1" t="s">
        <v>15</v>
      </c>
      <c r="H75" s="1" t="str">
        <f t="shared" si="5"/>
        <v>Groceries</v>
      </c>
    </row>
    <row r="76" spans="1:8" ht="29" x14ac:dyDescent="0.35">
      <c r="A76" s="6">
        <v>45696</v>
      </c>
      <c r="B76" s="6" t="str">
        <f t="shared" si="4"/>
        <v>Feb</v>
      </c>
      <c r="C76" s="1" t="s">
        <v>33</v>
      </c>
      <c r="D76" s="9">
        <v>1499</v>
      </c>
      <c r="E76" s="1" t="s">
        <v>11</v>
      </c>
      <c r="F76" s="1" t="s">
        <v>14</v>
      </c>
      <c r="G76" s="1" t="s">
        <v>20</v>
      </c>
      <c r="H76" s="1" t="str">
        <f t="shared" si="5"/>
        <v>Entertainment</v>
      </c>
    </row>
    <row r="77" spans="1:8" x14ac:dyDescent="0.35">
      <c r="A77" s="6">
        <v>45697</v>
      </c>
      <c r="B77" s="6" t="str">
        <f t="shared" si="4"/>
        <v>Feb</v>
      </c>
      <c r="C77" s="1" t="s">
        <v>39</v>
      </c>
      <c r="D77" s="9">
        <v>480</v>
      </c>
      <c r="E77" s="1" t="s">
        <v>11</v>
      </c>
      <c r="F77" s="1" t="s">
        <v>13</v>
      </c>
      <c r="G77" s="1" t="s">
        <v>23</v>
      </c>
      <c r="H77" s="1" t="str">
        <f t="shared" si="5"/>
        <v>Food &amp; Dining</v>
      </c>
    </row>
    <row r="78" spans="1:8" ht="29" x14ac:dyDescent="0.35">
      <c r="A78" s="6">
        <v>45697</v>
      </c>
      <c r="B78" s="6" t="str">
        <f t="shared" si="4"/>
        <v>Feb</v>
      </c>
      <c r="C78" s="1" t="s">
        <v>38</v>
      </c>
      <c r="D78" s="9">
        <v>590</v>
      </c>
      <c r="E78" s="1" t="s">
        <v>11</v>
      </c>
      <c r="F78" s="1" t="s">
        <v>14</v>
      </c>
      <c r="G78" s="1" t="s">
        <v>16</v>
      </c>
      <c r="H78" s="1" t="str">
        <f t="shared" si="5"/>
        <v>Uncategorized</v>
      </c>
    </row>
    <row r="79" spans="1:8" x14ac:dyDescent="0.35">
      <c r="A79" s="6">
        <v>45698</v>
      </c>
      <c r="B79" s="6" t="str">
        <f t="shared" si="4"/>
        <v>Feb</v>
      </c>
      <c r="C79" s="1" t="s">
        <v>22</v>
      </c>
      <c r="D79" s="9">
        <v>1500</v>
      </c>
      <c r="E79" s="1" t="s">
        <v>11</v>
      </c>
      <c r="F79" s="1" t="s">
        <v>13</v>
      </c>
      <c r="G79" s="1" t="s">
        <v>23</v>
      </c>
      <c r="H79" s="1" t="str">
        <f t="shared" si="5"/>
        <v>Transport</v>
      </c>
    </row>
    <row r="80" spans="1:8" x14ac:dyDescent="0.35">
      <c r="A80" s="6">
        <v>45698</v>
      </c>
      <c r="B80" s="6" t="str">
        <f t="shared" si="4"/>
        <v>Feb</v>
      </c>
      <c r="C80" s="1" t="s">
        <v>18</v>
      </c>
      <c r="D80" s="9">
        <v>560</v>
      </c>
      <c r="E80" s="1" t="s">
        <v>11</v>
      </c>
      <c r="F80" s="1" t="s">
        <v>13</v>
      </c>
      <c r="G80" s="1" t="s">
        <v>15</v>
      </c>
      <c r="H80" s="1" t="str">
        <f t="shared" si="5"/>
        <v>Food &amp; Dining</v>
      </c>
    </row>
    <row r="81" spans="1:8" ht="29" x14ac:dyDescent="0.35">
      <c r="A81" s="6">
        <v>45699</v>
      </c>
      <c r="B81" s="6" t="str">
        <f t="shared" si="4"/>
        <v>Feb</v>
      </c>
      <c r="C81" s="1" t="s">
        <v>28</v>
      </c>
      <c r="D81" s="9">
        <v>2500</v>
      </c>
      <c r="E81" s="1" t="s">
        <v>11</v>
      </c>
      <c r="F81" s="1" t="s">
        <v>13</v>
      </c>
      <c r="G81" s="1" t="s">
        <v>29</v>
      </c>
      <c r="H81" s="1" t="str">
        <f t="shared" si="5"/>
        <v>Uncategorized</v>
      </c>
    </row>
    <row r="82" spans="1:8" ht="29" x14ac:dyDescent="0.35">
      <c r="A82" s="6">
        <v>45700</v>
      </c>
      <c r="B82" s="6" t="str">
        <f t="shared" si="4"/>
        <v>Feb</v>
      </c>
      <c r="C82" s="1" t="s">
        <v>35</v>
      </c>
      <c r="D82" s="9">
        <v>860</v>
      </c>
      <c r="E82" s="1" t="s">
        <v>11</v>
      </c>
      <c r="F82" s="1" t="s">
        <v>13</v>
      </c>
      <c r="G82" s="1" t="s">
        <v>23</v>
      </c>
      <c r="H82" s="1" t="str">
        <f t="shared" si="5"/>
        <v>Health</v>
      </c>
    </row>
    <row r="83" spans="1:8" x14ac:dyDescent="0.35">
      <c r="A83" s="6">
        <v>45701</v>
      </c>
      <c r="B83" s="6" t="str">
        <f t="shared" si="4"/>
        <v>Feb</v>
      </c>
      <c r="C83" s="1" t="s">
        <v>31</v>
      </c>
      <c r="D83" s="9">
        <v>690</v>
      </c>
      <c r="E83" s="1" t="s">
        <v>11</v>
      </c>
      <c r="F83" s="1" t="s">
        <v>13</v>
      </c>
      <c r="G83" s="1" t="s">
        <v>15</v>
      </c>
      <c r="H83" s="1" t="str">
        <f t="shared" si="5"/>
        <v>Food &amp; Dining</v>
      </c>
    </row>
    <row r="84" spans="1:8" x14ac:dyDescent="0.35">
      <c r="A84" s="6">
        <v>45702</v>
      </c>
      <c r="B84" s="6" t="str">
        <f t="shared" si="4"/>
        <v>Feb</v>
      </c>
      <c r="C84" s="1" t="s">
        <v>32</v>
      </c>
      <c r="D84" s="9">
        <v>720</v>
      </c>
      <c r="E84" s="1" t="s">
        <v>11</v>
      </c>
      <c r="F84" s="1" t="s">
        <v>14</v>
      </c>
      <c r="G84" s="1" t="s">
        <v>23</v>
      </c>
      <c r="H84" s="1" t="str">
        <f t="shared" si="5"/>
        <v>Food &amp; Dining</v>
      </c>
    </row>
    <row r="85" spans="1:8" x14ac:dyDescent="0.35">
      <c r="A85" s="6">
        <v>45703</v>
      </c>
      <c r="B85" s="6" t="str">
        <f t="shared" si="4"/>
        <v>Feb</v>
      </c>
      <c r="C85" s="1" t="s">
        <v>7</v>
      </c>
      <c r="D85" s="9">
        <v>610</v>
      </c>
      <c r="E85" s="1" t="s">
        <v>11</v>
      </c>
      <c r="F85" s="1" t="s">
        <v>13</v>
      </c>
      <c r="G85" s="1" t="s">
        <v>15</v>
      </c>
      <c r="H85" s="1" t="str">
        <f t="shared" si="5"/>
        <v>Food &amp; Dining</v>
      </c>
    </row>
    <row r="86" spans="1:8" ht="29" x14ac:dyDescent="0.35">
      <c r="A86" s="6">
        <v>45704</v>
      </c>
      <c r="B86" s="6" t="str">
        <f t="shared" si="4"/>
        <v>Feb</v>
      </c>
      <c r="C86" s="1" t="s">
        <v>25</v>
      </c>
      <c r="D86" s="9">
        <v>1920</v>
      </c>
      <c r="E86" s="1" t="s">
        <v>11</v>
      </c>
      <c r="F86" s="1" t="s">
        <v>13</v>
      </c>
      <c r="G86" s="1" t="s">
        <v>23</v>
      </c>
      <c r="H86" s="1" t="str">
        <f t="shared" si="5"/>
        <v>Groceries</v>
      </c>
    </row>
    <row r="87" spans="1:8" x14ac:dyDescent="0.35">
      <c r="A87" s="6">
        <v>45705</v>
      </c>
      <c r="B87" s="6" t="str">
        <f t="shared" si="4"/>
        <v>Feb</v>
      </c>
      <c r="C87" s="1" t="s">
        <v>24</v>
      </c>
      <c r="D87" s="9">
        <v>340</v>
      </c>
      <c r="E87" s="1" t="s">
        <v>11</v>
      </c>
      <c r="F87" s="1" t="s">
        <v>13</v>
      </c>
      <c r="G87" s="1" t="s">
        <v>15</v>
      </c>
      <c r="H87" s="1" t="str">
        <f t="shared" si="5"/>
        <v>Transport</v>
      </c>
    </row>
    <row r="88" spans="1:8" ht="29" x14ac:dyDescent="0.35">
      <c r="A88" s="6">
        <v>45706</v>
      </c>
      <c r="B88" s="6" t="str">
        <f t="shared" si="4"/>
        <v>Feb</v>
      </c>
      <c r="C88" s="1" t="s">
        <v>19</v>
      </c>
      <c r="D88" s="9">
        <v>649</v>
      </c>
      <c r="E88" s="1" t="s">
        <v>11</v>
      </c>
      <c r="F88" s="1" t="s">
        <v>14</v>
      </c>
      <c r="G88" s="1" t="s">
        <v>20</v>
      </c>
      <c r="H88" s="1" t="str">
        <f t="shared" si="5"/>
        <v>Entertainment</v>
      </c>
    </row>
    <row r="89" spans="1:8" ht="29" x14ac:dyDescent="0.35">
      <c r="A89" s="6">
        <v>45707</v>
      </c>
      <c r="B89" s="6" t="str">
        <f t="shared" si="4"/>
        <v>Feb</v>
      </c>
      <c r="C89" s="1" t="s">
        <v>27</v>
      </c>
      <c r="D89" s="9">
        <v>299</v>
      </c>
      <c r="E89" s="1" t="s">
        <v>11</v>
      </c>
      <c r="F89" s="1" t="s">
        <v>13</v>
      </c>
      <c r="G89" s="1" t="s">
        <v>15</v>
      </c>
      <c r="H89" s="1" t="str">
        <f t="shared" si="5"/>
        <v>Bills &amp; Utilities</v>
      </c>
    </row>
    <row r="90" spans="1:8" x14ac:dyDescent="0.35">
      <c r="A90" s="6">
        <v>45708</v>
      </c>
      <c r="B90" s="6" t="str">
        <f t="shared" si="4"/>
        <v>Feb</v>
      </c>
      <c r="C90" s="1" t="s">
        <v>18</v>
      </c>
      <c r="D90" s="9">
        <v>540</v>
      </c>
      <c r="E90" s="1" t="s">
        <v>11</v>
      </c>
      <c r="F90" s="1" t="s">
        <v>13</v>
      </c>
      <c r="G90" s="1" t="s">
        <v>15</v>
      </c>
      <c r="H90" s="1" t="str">
        <f t="shared" si="5"/>
        <v>Food &amp; Dining</v>
      </c>
    </row>
    <row r="91" spans="1:8" x14ac:dyDescent="0.35">
      <c r="A91" s="6">
        <v>45709</v>
      </c>
      <c r="B91" s="6" t="str">
        <f t="shared" si="4"/>
        <v>Feb</v>
      </c>
      <c r="C91" s="1" t="s">
        <v>22</v>
      </c>
      <c r="D91" s="9">
        <v>1470</v>
      </c>
      <c r="E91" s="1" t="s">
        <v>11</v>
      </c>
      <c r="F91" s="1" t="s">
        <v>13</v>
      </c>
      <c r="G91" s="1" t="s">
        <v>23</v>
      </c>
      <c r="H91" s="1" t="str">
        <f t="shared" si="5"/>
        <v>Transport</v>
      </c>
    </row>
    <row r="92" spans="1:8" x14ac:dyDescent="0.35">
      <c r="A92" s="6">
        <v>45710</v>
      </c>
      <c r="B92" s="6" t="str">
        <f t="shared" si="4"/>
        <v>Feb</v>
      </c>
      <c r="C92" s="1" t="s">
        <v>40</v>
      </c>
      <c r="D92" s="9">
        <v>2250</v>
      </c>
      <c r="E92" s="1" t="s">
        <v>11</v>
      </c>
      <c r="F92" s="1" t="s">
        <v>14</v>
      </c>
      <c r="G92" s="1" t="s">
        <v>16</v>
      </c>
      <c r="H92" s="1" t="str">
        <f t="shared" si="5"/>
        <v>Shopping</v>
      </c>
    </row>
    <row r="93" spans="1:8" ht="29" x14ac:dyDescent="0.35">
      <c r="A93" s="6">
        <v>45711</v>
      </c>
      <c r="B93" s="6" t="str">
        <f t="shared" si="4"/>
        <v>Feb</v>
      </c>
      <c r="C93" s="1" t="s">
        <v>35</v>
      </c>
      <c r="D93" s="9">
        <v>990</v>
      </c>
      <c r="E93" s="1" t="s">
        <v>11</v>
      </c>
      <c r="F93" s="1" t="s">
        <v>13</v>
      </c>
      <c r="G93" s="1" t="s">
        <v>23</v>
      </c>
      <c r="H93" s="1" t="str">
        <f t="shared" si="5"/>
        <v>Health</v>
      </c>
    </row>
    <row r="94" spans="1:8" ht="29" x14ac:dyDescent="0.35">
      <c r="A94" s="6">
        <v>45712</v>
      </c>
      <c r="B94" s="6" t="str">
        <f t="shared" si="4"/>
        <v>Feb</v>
      </c>
      <c r="C94" s="1" t="s">
        <v>38</v>
      </c>
      <c r="D94" s="9">
        <v>510</v>
      </c>
      <c r="E94" s="1" t="s">
        <v>11</v>
      </c>
      <c r="F94" s="1" t="s">
        <v>14</v>
      </c>
      <c r="G94" s="1" t="s">
        <v>16</v>
      </c>
      <c r="H94" s="1" t="str">
        <f t="shared" si="5"/>
        <v>Uncategorized</v>
      </c>
    </row>
    <row r="95" spans="1:8" x14ac:dyDescent="0.35">
      <c r="A95" s="6">
        <v>45713</v>
      </c>
      <c r="B95" s="6" t="str">
        <f t="shared" si="4"/>
        <v>Feb</v>
      </c>
      <c r="C95" s="1" t="s">
        <v>31</v>
      </c>
      <c r="D95" s="9">
        <v>650</v>
      </c>
      <c r="E95" s="1" t="s">
        <v>11</v>
      </c>
      <c r="F95" s="1" t="s">
        <v>13</v>
      </c>
      <c r="G95" s="1" t="s">
        <v>15</v>
      </c>
      <c r="H95" s="1" t="str">
        <f t="shared" si="5"/>
        <v>Food &amp; Dining</v>
      </c>
    </row>
    <row r="96" spans="1:8" x14ac:dyDescent="0.35">
      <c r="A96" s="6">
        <v>45714</v>
      </c>
      <c r="B96" s="6" t="str">
        <f t="shared" si="4"/>
        <v>Feb</v>
      </c>
      <c r="C96" s="1" t="s">
        <v>6</v>
      </c>
      <c r="D96" s="9">
        <v>320</v>
      </c>
      <c r="E96" s="1" t="s">
        <v>11</v>
      </c>
      <c r="F96" s="1" t="s">
        <v>13</v>
      </c>
      <c r="G96" s="1" t="s">
        <v>15</v>
      </c>
      <c r="H96" s="1" t="str">
        <f t="shared" si="5"/>
        <v>Transport</v>
      </c>
    </row>
    <row r="97" spans="1:8" ht="29" x14ac:dyDescent="0.35">
      <c r="A97" s="6">
        <v>45715</v>
      </c>
      <c r="B97" s="6" t="str">
        <f t="shared" si="4"/>
        <v>Feb</v>
      </c>
      <c r="C97" s="1" t="s">
        <v>10</v>
      </c>
      <c r="D97" s="9">
        <v>1830</v>
      </c>
      <c r="E97" s="1" t="s">
        <v>11</v>
      </c>
      <c r="F97" s="1" t="s">
        <v>13</v>
      </c>
      <c r="G97" s="1" t="s">
        <v>15</v>
      </c>
      <c r="H97" s="1" t="str">
        <f t="shared" si="5"/>
        <v>Bills &amp; Utilities</v>
      </c>
    </row>
    <row r="98" spans="1:8" x14ac:dyDescent="0.35">
      <c r="A98" s="6">
        <v>45716</v>
      </c>
      <c r="B98" s="6" t="str">
        <f t="shared" ref="B98:B129" si="6">TEXT(A98,"mmm")</f>
        <v>Feb</v>
      </c>
      <c r="C98" s="1" t="s">
        <v>9</v>
      </c>
      <c r="D98" s="9">
        <v>45000</v>
      </c>
      <c r="E98" s="1" t="s">
        <v>12</v>
      </c>
      <c r="F98" s="1" t="s">
        <v>13</v>
      </c>
      <c r="G98" s="1" t="s">
        <v>17</v>
      </c>
      <c r="H98" s="1" t="str">
        <f t="shared" ref="H98:H134" si="7" xml:space="preserve"> IF(OR(ISNUMBER(SEARCH("zomato",C98)),ISNUMBER(SEARCH("swiggy",C98)),ISNUMBER(SEARCH("pizza",C98)),ISNUMBER(SEARCH("cafe",C98)),ISNUMBER(SEARCH("coffee",C98)),ISNUMBER(SEARCH("restaurant",C98)),ISNUMBER(SEARCH("starbucks",C98))),"Food &amp; Dining",
IF(OR(ISNUMBER(SEARCH("grocery",C98)),ISNUMBER(SEARCH("mart",C98)),ISNUMBER(SEARCH("supermarket",C98))),"Groceries",
IF(OR(ISNUMBER(SEARCH("netflix",C98)),ISNUMBER(SEARCH("spotify",C98)),ISNUMBER(SEARCH("prime",C98)),ISNUMBER(SEARCH("hotstar",C98))),"Entertainment",
IF(OR(ISNUMBER(SEARCH("uber",C98)),ISNUMBER(SEARCH("ola",C98)),ISNUMBER(SEARCH("petrol",C98)),ISNUMBER(SEARCH("fuel",C98))),"Transport",
IF(OR(ISNUMBER(SEARCH("amazon",C98)),ISNUMBER(SEARCH("flipkart",C98))),"Shopping",
IF(OR(ISNUMBER(SEARCH("electricity",C98)),ISNUMBER(SEARCH("gas",C98)),ISNUMBER(SEARCH("recharge",C98)),ISNUMBER(SEARCH("broadband",C98))),"Bills &amp; Utilities",
IF(OR(ISNUMBER(SEARCH("transfer",C98)),ISNUMBER(SEARCH("upi",C98)),ISNUMBER(SEARCH("sent",C98))),"Transfers",
IF(OR(ISNUMBER(SEARCH("salary",C98)),ISNUMBER(SEARCH("refund",C98)),ISNUMBER(SEARCH("cashback",C98))),"Income",
IF(OR(ISNUMBER(SEARCH("medical",C98)),ISNUMBER(SEARCH("pharmacy",C98)),ISNUMBER(SEARCH("hospital",C98)),ISNUMBER(SEARCH("clinic",C98)),ISNUMBER(SEARCH("doctor",C98))),"Health",
"Uncategorized")))))))))</f>
        <v>Income</v>
      </c>
    </row>
    <row r="99" spans="1:8" x14ac:dyDescent="0.35">
      <c r="A99" s="6">
        <v>45717</v>
      </c>
      <c r="B99" s="6" t="str">
        <f t="shared" si="6"/>
        <v>Mar</v>
      </c>
      <c r="C99" s="1" t="s">
        <v>18</v>
      </c>
      <c r="D99" s="9">
        <v>560</v>
      </c>
      <c r="E99" s="1" t="s">
        <v>11</v>
      </c>
      <c r="F99" s="1" t="s">
        <v>13</v>
      </c>
      <c r="G99" s="1" t="s">
        <v>15</v>
      </c>
      <c r="H99" s="1" t="str">
        <f t="shared" si="7"/>
        <v>Food &amp; Dining</v>
      </c>
    </row>
    <row r="100" spans="1:8" x14ac:dyDescent="0.35">
      <c r="A100" s="6">
        <v>45717</v>
      </c>
      <c r="B100" s="6" t="str">
        <f t="shared" si="6"/>
        <v>Mar</v>
      </c>
      <c r="C100" s="1" t="s">
        <v>34</v>
      </c>
      <c r="D100" s="9">
        <v>180</v>
      </c>
      <c r="E100" s="1" t="s">
        <v>11</v>
      </c>
      <c r="F100" s="1" t="s">
        <v>13</v>
      </c>
      <c r="G100" s="1" t="s">
        <v>15</v>
      </c>
      <c r="H100" s="1" t="str">
        <f t="shared" si="7"/>
        <v>Transport</v>
      </c>
    </row>
    <row r="101" spans="1:8" x14ac:dyDescent="0.35">
      <c r="A101" s="6">
        <v>45718</v>
      </c>
      <c r="B101" s="6" t="str">
        <f t="shared" si="6"/>
        <v>Mar</v>
      </c>
      <c r="C101" s="1" t="s">
        <v>7</v>
      </c>
      <c r="D101" s="9">
        <v>690</v>
      </c>
      <c r="E101" s="1" t="s">
        <v>11</v>
      </c>
      <c r="F101" s="1" t="s">
        <v>13</v>
      </c>
      <c r="G101" s="1" t="s">
        <v>15</v>
      </c>
      <c r="H101" s="1" t="str">
        <f t="shared" si="7"/>
        <v>Food &amp; Dining</v>
      </c>
    </row>
    <row r="102" spans="1:8" x14ac:dyDescent="0.35">
      <c r="A102" s="6">
        <v>45718</v>
      </c>
      <c r="B102" s="6" t="str">
        <f t="shared" si="6"/>
        <v>Mar</v>
      </c>
      <c r="C102" s="1" t="s">
        <v>22</v>
      </c>
      <c r="D102" s="9">
        <v>1510</v>
      </c>
      <c r="E102" s="1" t="s">
        <v>11</v>
      </c>
      <c r="F102" s="1" t="s">
        <v>13</v>
      </c>
      <c r="G102" s="1" t="s">
        <v>23</v>
      </c>
      <c r="H102" s="1" t="str">
        <f t="shared" si="7"/>
        <v>Transport</v>
      </c>
    </row>
    <row r="103" spans="1:8" x14ac:dyDescent="0.35">
      <c r="A103" s="6">
        <v>45719</v>
      </c>
      <c r="B103" s="6" t="str">
        <f t="shared" si="6"/>
        <v>Mar</v>
      </c>
      <c r="C103" s="1" t="s">
        <v>41</v>
      </c>
      <c r="D103" s="9">
        <v>1940</v>
      </c>
      <c r="E103" s="1" t="s">
        <v>11</v>
      </c>
      <c r="F103" s="1" t="s">
        <v>13</v>
      </c>
      <c r="G103" s="1" t="s">
        <v>16</v>
      </c>
      <c r="H103" s="1" t="str">
        <f t="shared" si="7"/>
        <v>Groceries</v>
      </c>
    </row>
    <row r="104" spans="1:8" x14ac:dyDescent="0.35">
      <c r="A104" s="6">
        <v>45719</v>
      </c>
      <c r="B104" s="6" t="str">
        <f t="shared" si="6"/>
        <v>Mar</v>
      </c>
      <c r="C104" s="1" t="s">
        <v>40</v>
      </c>
      <c r="D104" s="9">
        <v>2390</v>
      </c>
      <c r="E104" s="1" t="s">
        <v>11</v>
      </c>
      <c r="F104" s="1" t="s">
        <v>14</v>
      </c>
      <c r="G104" s="1" t="s">
        <v>16</v>
      </c>
      <c r="H104" s="1" t="str">
        <f t="shared" si="7"/>
        <v>Shopping</v>
      </c>
    </row>
    <row r="105" spans="1:8" ht="29" x14ac:dyDescent="0.35">
      <c r="A105" s="6">
        <v>45720</v>
      </c>
      <c r="B105" s="6" t="str">
        <f t="shared" si="6"/>
        <v>Mar</v>
      </c>
      <c r="C105" s="1" t="s">
        <v>19</v>
      </c>
      <c r="D105" s="9">
        <v>649</v>
      </c>
      <c r="E105" s="1" t="s">
        <v>11</v>
      </c>
      <c r="F105" s="1" t="s">
        <v>14</v>
      </c>
      <c r="G105" s="1" t="s">
        <v>20</v>
      </c>
      <c r="H105" s="1" t="str">
        <f t="shared" si="7"/>
        <v>Entertainment</v>
      </c>
    </row>
    <row r="106" spans="1:8" x14ac:dyDescent="0.35">
      <c r="A106" s="6">
        <v>45720</v>
      </c>
      <c r="B106" s="6" t="str">
        <f t="shared" si="6"/>
        <v>Mar</v>
      </c>
      <c r="C106" s="1" t="s">
        <v>24</v>
      </c>
      <c r="D106" s="9">
        <v>350</v>
      </c>
      <c r="E106" s="1" t="s">
        <v>11</v>
      </c>
      <c r="F106" s="1" t="s">
        <v>13</v>
      </c>
      <c r="G106" s="1" t="s">
        <v>15</v>
      </c>
      <c r="H106" s="1" t="str">
        <f t="shared" si="7"/>
        <v>Transport</v>
      </c>
    </row>
    <row r="107" spans="1:8" ht="29" x14ac:dyDescent="0.35">
      <c r="A107" s="6">
        <v>45721</v>
      </c>
      <c r="B107" s="6" t="str">
        <f t="shared" si="6"/>
        <v>Mar</v>
      </c>
      <c r="C107" s="1" t="s">
        <v>27</v>
      </c>
      <c r="D107" s="9">
        <v>299</v>
      </c>
      <c r="E107" s="1" t="s">
        <v>11</v>
      </c>
      <c r="F107" s="1" t="s">
        <v>13</v>
      </c>
      <c r="G107" s="1" t="s">
        <v>15</v>
      </c>
      <c r="H107" s="1" t="str">
        <f t="shared" si="7"/>
        <v>Bills &amp; Utilities</v>
      </c>
    </row>
    <row r="108" spans="1:8" x14ac:dyDescent="0.35">
      <c r="A108" s="6">
        <v>45721</v>
      </c>
      <c r="B108" s="6" t="str">
        <f t="shared" si="6"/>
        <v>Mar</v>
      </c>
      <c r="C108" s="1" t="s">
        <v>31</v>
      </c>
      <c r="D108" s="9">
        <v>720</v>
      </c>
      <c r="E108" s="1" t="s">
        <v>11</v>
      </c>
      <c r="F108" s="1" t="s">
        <v>13</v>
      </c>
      <c r="G108" s="1" t="s">
        <v>15</v>
      </c>
      <c r="H108" s="1" t="str">
        <f t="shared" si="7"/>
        <v>Food &amp; Dining</v>
      </c>
    </row>
    <row r="109" spans="1:8" x14ac:dyDescent="0.35">
      <c r="A109" s="6">
        <v>45722</v>
      </c>
      <c r="B109" s="6" t="str">
        <f t="shared" si="6"/>
        <v>Mar</v>
      </c>
      <c r="C109" s="1" t="s">
        <v>32</v>
      </c>
      <c r="D109" s="9">
        <v>820</v>
      </c>
      <c r="E109" s="1" t="s">
        <v>11</v>
      </c>
      <c r="F109" s="1" t="s">
        <v>14</v>
      </c>
      <c r="G109" s="1" t="s">
        <v>23</v>
      </c>
      <c r="H109" s="1" t="str">
        <f t="shared" si="7"/>
        <v>Food &amp; Dining</v>
      </c>
    </row>
    <row r="110" spans="1:8" ht="29" x14ac:dyDescent="0.35">
      <c r="A110" s="6">
        <v>45722</v>
      </c>
      <c r="B110" s="6" t="str">
        <f t="shared" si="6"/>
        <v>Mar</v>
      </c>
      <c r="C110" s="1" t="s">
        <v>35</v>
      </c>
      <c r="D110" s="9">
        <v>910</v>
      </c>
      <c r="E110" s="1" t="s">
        <v>11</v>
      </c>
      <c r="F110" s="1" t="s">
        <v>13</v>
      </c>
      <c r="G110" s="1" t="s">
        <v>23</v>
      </c>
      <c r="H110" s="1" t="str">
        <f t="shared" si="7"/>
        <v>Health</v>
      </c>
    </row>
    <row r="111" spans="1:8" ht="29" x14ac:dyDescent="0.35">
      <c r="A111" s="6">
        <v>45723</v>
      </c>
      <c r="B111" s="6" t="str">
        <f t="shared" si="6"/>
        <v>Mar</v>
      </c>
      <c r="C111" s="1" t="s">
        <v>10</v>
      </c>
      <c r="D111" s="9">
        <v>1790</v>
      </c>
      <c r="E111" s="1" t="s">
        <v>11</v>
      </c>
      <c r="F111" s="1" t="s">
        <v>13</v>
      </c>
      <c r="G111" s="1" t="s">
        <v>15</v>
      </c>
      <c r="H111" s="1" t="str">
        <f t="shared" si="7"/>
        <v>Bills &amp; Utilities</v>
      </c>
    </row>
    <row r="112" spans="1:8" x14ac:dyDescent="0.35">
      <c r="A112" s="6">
        <v>45724</v>
      </c>
      <c r="B112" s="6" t="str">
        <f t="shared" si="6"/>
        <v>Mar</v>
      </c>
      <c r="C112" s="1" t="s">
        <v>36</v>
      </c>
      <c r="D112" s="9">
        <v>760</v>
      </c>
      <c r="E112" s="1" t="s">
        <v>11</v>
      </c>
      <c r="F112" s="1" t="s">
        <v>13</v>
      </c>
      <c r="G112" s="1" t="s">
        <v>15</v>
      </c>
      <c r="H112" s="1" t="str">
        <f t="shared" si="7"/>
        <v>Groceries</v>
      </c>
    </row>
    <row r="113" spans="1:8" x14ac:dyDescent="0.35">
      <c r="A113" s="6">
        <v>45725</v>
      </c>
      <c r="B113" s="6" t="str">
        <f t="shared" si="6"/>
        <v>Mar</v>
      </c>
      <c r="C113" s="1" t="s">
        <v>39</v>
      </c>
      <c r="D113" s="9">
        <v>520</v>
      </c>
      <c r="E113" s="1" t="s">
        <v>11</v>
      </c>
      <c r="F113" s="1" t="s">
        <v>13</v>
      </c>
      <c r="G113" s="1" t="s">
        <v>23</v>
      </c>
      <c r="H113" s="1" t="str">
        <f t="shared" si="7"/>
        <v>Food &amp; Dining</v>
      </c>
    </row>
    <row r="114" spans="1:8" ht="29" x14ac:dyDescent="0.35">
      <c r="A114" s="6">
        <v>45726</v>
      </c>
      <c r="B114" s="6" t="str">
        <f t="shared" si="6"/>
        <v>Mar</v>
      </c>
      <c r="C114" s="1" t="s">
        <v>38</v>
      </c>
      <c r="D114" s="9">
        <v>540</v>
      </c>
      <c r="E114" s="1" t="s">
        <v>11</v>
      </c>
      <c r="F114" s="1" t="s">
        <v>14</v>
      </c>
      <c r="G114" s="1" t="s">
        <v>16</v>
      </c>
      <c r="H114" s="1" t="str">
        <f t="shared" si="7"/>
        <v>Uncategorized</v>
      </c>
    </row>
    <row r="115" spans="1:8" x14ac:dyDescent="0.35">
      <c r="A115" s="6">
        <v>45727</v>
      </c>
      <c r="B115" s="6" t="str">
        <f t="shared" si="6"/>
        <v>Mar</v>
      </c>
      <c r="C115" s="1" t="s">
        <v>22</v>
      </c>
      <c r="D115" s="9">
        <v>1490</v>
      </c>
      <c r="E115" s="1" t="s">
        <v>11</v>
      </c>
      <c r="F115" s="1" t="s">
        <v>13</v>
      </c>
      <c r="G115" s="1" t="s">
        <v>23</v>
      </c>
      <c r="H115" s="1" t="str">
        <f t="shared" si="7"/>
        <v>Transport</v>
      </c>
    </row>
    <row r="116" spans="1:8" x14ac:dyDescent="0.35">
      <c r="A116" s="6">
        <v>45728</v>
      </c>
      <c r="B116" s="6" t="str">
        <f t="shared" si="6"/>
        <v>Mar</v>
      </c>
      <c r="C116" s="1" t="s">
        <v>18</v>
      </c>
      <c r="D116" s="9">
        <v>580</v>
      </c>
      <c r="E116" s="1" t="s">
        <v>11</v>
      </c>
      <c r="F116" s="1" t="s">
        <v>13</v>
      </c>
      <c r="G116" s="1" t="s">
        <v>15</v>
      </c>
      <c r="H116" s="1" t="str">
        <f t="shared" si="7"/>
        <v>Food &amp; Dining</v>
      </c>
    </row>
    <row r="117" spans="1:8" ht="29" x14ac:dyDescent="0.35">
      <c r="A117" s="6">
        <v>45729</v>
      </c>
      <c r="B117" s="6" t="str">
        <f t="shared" si="6"/>
        <v>Mar</v>
      </c>
      <c r="C117" s="1" t="s">
        <v>28</v>
      </c>
      <c r="D117" s="9">
        <v>2500</v>
      </c>
      <c r="E117" s="1" t="s">
        <v>11</v>
      </c>
      <c r="F117" s="1" t="s">
        <v>13</v>
      </c>
      <c r="G117" s="1" t="s">
        <v>29</v>
      </c>
      <c r="H117" s="1" t="str">
        <f t="shared" si="7"/>
        <v>Uncategorized</v>
      </c>
    </row>
    <row r="118" spans="1:8" ht="29" x14ac:dyDescent="0.35">
      <c r="A118" s="6">
        <v>45730</v>
      </c>
      <c r="B118" s="6" t="str">
        <f t="shared" si="6"/>
        <v>Mar</v>
      </c>
      <c r="C118" s="1" t="s">
        <v>35</v>
      </c>
      <c r="D118" s="9">
        <v>860</v>
      </c>
      <c r="E118" s="1" t="s">
        <v>11</v>
      </c>
      <c r="F118" s="1" t="s">
        <v>13</v>
      </c>
      <c r="G118" s="1" t="s">
        <v>23</v>
      </c>
      <c r="H118" s="1" t="str">
        <f t="shared" si="7"/>
        <v>Health</v>
      </c>
    </row>
    <row r="119" spans="1:8" x14ac:dyDescent="0.35">
      <c r="A119" s="6">
        <v>45731</v>
      </c>
      <c r="B119" s="6" t="str">
        <f t="shared" si="6"/>
        <v>Mar</v>
      </c>
      <c r="C119" s="1" t="s">
        <v>31</v>
      </c>
      <c r="D119" s="9">
        <v>710</v>
      </c>
      <c r="E119" s="1" t="s">
        <v>11</v>
      </c>
      <c r="F119" s="1" t="s">
        <v>13</v>
      </c>
      <c r="G119" s="1" t="s">
        <v>15</v>
      </c>
      <c r="H119" s="1" t="str">
        <f t="shared" si="7"/>
        <v>Food &amp; Dining</v>
      </c>
    </row>
    <row r="120" spans="1:8" x14ac:dyDescent="0.35">
      <c r="A120" s="6">
        <v>45732</v>
      </c>
      <c r="B120" s="6" t="str">
        <f t="shared" si="6"/>
        <v>Mar</v>
      </c>
      <c r="C120" s="1" t="s">
        <v>32</v>
      </c>
      <c r="D120" s="9">
        <v>750</v>
      </c>
      <c r="E120" s="1" t="s">
        <v>11</v>
      </c>
      <c r="F120" s="1" t="s">
        <v>14</v>
      </c>
      <c r="G120" s="1" t="s">
        <v>23</v>
      </c>
      <c r="H120" s="1" t="str">
        <f t="shared" si="7"/>
        <v>Food &amp; Dining</v>
      </c>
    </row>
    <row r="121" spans="1:8" x14ac:dyDescent="0.35">
      <c r="A121" s="6">
        <v>45733</v>
      </c>
      <c r="B121" s="6" t="str">
        <f t="shared" si="6"/>
        <v>Mar</v>
      </c>
      <c r="C121" s="1" t="s">
        <v>7</v>
      </c>
      <c r="D121" s="9">
        <v>640</v>
      </c>
      <c r="E121" s="1" t="s">
        <v>11</v>
      </c>
      <c r="F121" s="1" t="s">
        <v>13</v>
      </c>
      <c r="G121" s="1" t="s">
        <v>15</v>
      </c>
      <c r="H121" s="1" t="str">
        <f t="shared" si="7"/>
        <v>Food &amp; Dining</v>
      </c>
    </row>
    <row r="122" spans="1:8" ht="29" x14ac:dyDescent="0.35">
      <c r="A122" s="6">
        <v>45734</v>
      </c>
      <c r="B122" s="6" t="str">
        <f t="shared" si="6"/>
        <v>Mar</v>
      </c>
      <c r="C122" s="1" t="s">
        <v>25</v>
      </c>
      <c r="D122" s="9">
        <v>2010</v>
      </c>
      <c r="E122" s="1" t="s">
        <v>11</v>
      </c>
      <c r="F122" s="1" t="s">
        <v>13</v>
      </c>
      <c r="G122" s="1" t="s">
        <v>23</v>
      </c>
      <c r="H122" s="1" t="str">
        <f t="shared" si="7"/>
        <v>Groceries</v>
      </c>
    </row>
    <row r="123" spans="1:8" x14ac:dyDescent="0.35">
      <c r="A123" s="6">
        <v>45735</v>
      </c>
      <c r="B123" s="6" t="str">
        <f t="shared" si="6"/>
        <v>Mar</v>
      </c>
      <c r="C123" s="1" t="s">
        <v>24</v>
      </c>
      <c r="D123" s="9">
        <v>360</v>
      </c>
      <c r="E123" s="1" t="s">
        <v>11</v>
      </c>
      <c r="F123" s="1" t="s">
        <v>13</v>
      </c>
      <c r="G123" s="1" t="s">
        <v>15</v>
      </c>
      <c r="H123" s="1" t="str">
        <f t="shared" si="7"/>
        <v>Transport</v>
      </c>
    </row>
    <row r="124" spans="1:8" ht="29" x14ac:dyDescent="0.35">
      <c r="A124" s="6">
        <v>45736</v>
      </c>
      <c r="B124" s="6" t="str">
        <f t="shared" si="6"/>
        <v>Mar</v>
      </c>
      <c r="C124" s="1" t="s">
        <v>19</v>
      </c>
      <c r="D124" s="9">
        <v>649</v>
      </c>
      <c r="E124" s="1" t="s">
        <v>11</v>
      </c>
      <c r="F124" s="1" t="s">
        <v>14</v>
      </c>
      <c r="G124" s="1" t="s">
        <v>20</v>
      </c>
      <c r="H124" s="1" t="str">
        <f t="shared" si="7"/>
        <v>Entertainment</v>
      </c>
    </row>
    <row r="125" spans="1:8" ht="29" x14ac:dyDescent="0.35">
      <c r="A125" s="6">
        <v>45737</v>
      </c>
      <c r="B125" s="6" t="str">
        <f t="shared" si="6"/>
        <v>Mar</v>
      </c>
      <c r="C125" s="1" t="s">
        <v>27</v>
      </c>
      <c r="D125" s="9">
        <v>299</v>
      </c>
      <c r="E125" s="1" t="s">
        <v>11</v>
      </c>
      <c r="F125" s="1" t="s">
        <v>13</v>
      </c>
      <c r="G125" s="1" t="s">
        <v>15</v>
      </c>
      <c r="H125" s="1" t="str">
        <f t="shared" si="7"/>
        <v>Bills &amp; Utilities</v>
      </c>
    </row>
    <row r="126" spans="1:8" x14ac:dyDescent="0.35">
      <c r="A126" s="6">
        <v>45738</v>
      </c>
      <c r="B126" s="6" t="str">
        <f t="shared" si="6"/>
        <v>Mar</v>
      </c>
      <c r="C126" s="1" t="s">
        <v>18</v>
      </c>
      <c r="D126" s="9">
        <v>620</v>
      </c>
      <c r="E126" s="1" t="s">
        <v>11</v>
      </c>
      <c r="F126" s="1" t="s">
        <v>13</v>
      </c>
      <c r="G126" s="1" t="s">
        <v>15</v>
      </c>
      <c r="H126" s="1" t="str">
        <f t="shared" si="7"/>
        <v>Food &amp; Dining</v>
      </c>
    </row>
    <row r="127" spans="1:8" x14ac:dyDescent="0.35">
      <c r="A127" s="6">
        <v>45739</v>
      </c>
      <c r="B127" s="6" t="str">
        <f t="shared" si="6"/>
        <v>Mar</v>
      </c>
      <c r="C127" s="1" t="s">
        <v>22</v>
      </c>
      <c r="D127" s="9">
        <v>1530</v>
      </c>
      <c r="E127" s="1" t="s">
        <v>11</v>
      </c>
      <c r="F127" s="1" t="s">
        <v>13</v>
      </c>
      <c r="G127" s="1" t="s">
        <v>23</v>
      </c>
      <c r="H127" s="1" t="str">
        <f t="shared" si="7"/>
        <v>Transport</v>
      </c>
    </row>
    <row r="128" spans="1:8" x14ac:dyDescent="0.35">
      <c r="A128" s="6">
        <v>45740</v>
      </c>
      <c r="B128" s="6" t="str">
        <f t="shared" si="6"/>
        <v>Mar</v>
      </c>
      <c r="C128" s="1" t="s">
        <v>40</v>
      </c>
      <c r="D128" s="9">
        <v>2140</v>
      </c>
      <c r="E128" s="1" t="s">
        <v>11</v>
      </c>
      <c r="F128" s="1" t="s">
        <v>14</v>
      </c>
      <c r="G128" s="1" t="s">
        <v>16</v>
      </c>
      <c r="H128" s="1" t="str">
        <f t="shared" si="7"/>
        <v>Shopping</v>
      </c>
    </row>
    <row r="129" spans="1:8" ht="29" x14ac:dyDescent="0.35">
      <c r="A129" s="6">
        <v>45741</v>
      </c>
      <c r="B129" s="6" t="str">
        <f t="shared" si="6"/>
        <v>Mar</v>
      </c>
      <c r="C129" s="1" t="s">
        <v>35</v>
      </c>
      <c r="D129" s="9">
        <v>920</v>
      </c>
      <c r="E129" s="1" t="s">
        <v>11</v>
      </c>
      <c r="F129" s="1" t="s">
        <v>13</v>
      </c>
      <c r="G129" s="1" t="s">
        <v>23</v>
      </c>
      <c r="H129" s="1" t="str">
        <f t="shared" si="7"/>
        <v>Health</v>
      </c>
    </row>
    <row r="130" spans="1:8" ht="29" x14ac:dyDescent="0.35">
      <c r="A130" s="6">
        <v>45742</v>
      </c>
      <c r="B130" s="6" t="str">
        <f t="shared" ref="B130:B134" si="8">TEXT(A130,"mmm")</f>
        <v>Mar</v>
      </c>
      <c r="C130" s="1" t="s">
        <v>38</v>
      </c>
      <c r="D130" s="9">
        <v>560</v>
      </c>
      <c r="E130" s="1" t="s">
        <v>11</v>
      </c>
      <c r="F130" s="1" t="s">
        <v>14</v>
      </c>
      <c r="G130" s="1" t="s">
        <v>16</v>
      </c>
      <c r="H130" s="1" t="str">
        <f t="shared" si="7"/>
        <v>Uncategorized</v>
      </c>
    </row>
    <row r="131" spans="1:8" x14ac:dyDescent="0.35">
      <c r="A131" s="6">
        <v>45743</v>
      </c>
      <c r="B131" s="6" t="str">
        <f t="shared" si="8"/>
        <v>Mar</v>
      </c>
      <c r="C131" s="1" t="s">
        <v>31</v>
      </c>
      <c r="D131" s="9">
        <v>670</v>
      </c>
      <c r="E131" s="1" t="s">
        <v>11</v>
      </c>
      <c r="F131" s="1" t="s">
        <v>13</v>
      </c>
      <c r="G131" s="1" t="s">
        <v>15</v>
      </c>
      <c r="H131" s="1" t="str">
        <f t="shared" si="7"/>
        <v>Food &amp; Dining</v>
      </c>
    </row>
    <row r="132" spans="1:8" x14ac:dyDescent="0.35">
      <c r="A132" s="6">
        <v>45744</v>
      </c>
      <c r="B132" s="6" t="str">
        <f t="shared" si="8"/>
        <v>Mar</v>
      </c>
      <c r="C132" s="1" t="s">
        <v>6</v>
      </c>
      <c r="D132" s="9">
        <v>330</v>
      </c>
      <c r="E132" s="1" t="s">
        <v>11</v>
      </c>
      <c r="F132" s="1" t="s">
        <v>13</v>
      </c>
      <c r="G132" s="1" t="s">
        <v>15</v>
      </c>
      <c r="H132" s="1" t="str">
        <f t="shared" si="7"/>
        <v>Transport</v>
      </c>
    </row>
    <row r="133" spans="1:8" ht="29" x14ac:dyDescent="0.35">
      <c r="A133" s="6">
        <v>45745</v>
      </c>
      <c r="B133" s="6" t="str">
        <f t="shared" si="8"/>
        <v>Mar</v>
      </c>
      <c r="C133" s="1" t="s">
        <v>10</v>
      </c>
      <c r="D133" s="9">
        <v>1860</v>
      </c>
      <c r="E133" s="1" t="s">
        <v>11</v>
      </c>
      <c r="F133" s="1" t="s">
        <v>13</v>
      </c>
      <c r="G133" s="1" t="s">
        <v>15</v>
      </c>
      <c r="H133" s="1" t="str">
        <f t="shared" si="7"/>
        <v>Bills &amp; Utilities</v>
      </c>
    </row>
    <row r="134" spans="1:8" x14ac:dyDescent="0.35">
      <c r="A134" s="6">
        <v>45747</v>
      </c>
      <c r="B134" s="6" t="str">
        <f t="shared" si="8"/>
        <v>Mar</v>
      </c>
      <c r="C134" s="1" t="s">
        <v>9</v>
      </c>
      <c r="D134" s="9">
        <v>45000</v>
      </c>
      <c r="E134" s="1" t="s">
        <v>12</v>
      </c>
      <c r="F134" s="1" t="s">
        <v>13</v>
      </c>
      <c r="G134" s="1" t="s">
        <v>17</v>
      </c>
      <c r="H134" s="1" t="str">
        <f t="shared" si="7"/>
        <v>Income</v>
      </c>
    </row>
  </sheetData>
  <dataValidations count="1">
    <dataValidation allowBlank="1" showInputMessage="1" showErrorMessage="1" promptTitle="Search Help" prompt="Type merchant name, category or keyword_x000a_Example: uber, food" sqref="J2" xr:uid="{F659B1A8-33A0-496B-9378-5D3922527497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298F-6633-452D-89F8-AF165ABF39BC}">
  <dimension ref="A1:H30"/>
  <sheetViews>
    <sheetView showGridLines="0" workbookViewId="0">
      <selection activeCell="O28" sqref="O28"/>
    </sheetView>
  </sheetViews>
  <sheetFormatPr defaultRowHeight="14.5" x14ac:dyDescent="0.35"/>
  <cols>
    <col min="3" max="3" width="37.54296875" customWidth="1"/>
    <col min="4" max="4" width="8.7265625" customWidth="1"/>
  </cols>
  <sheetData>
    <row r="1" spans="1:8" ht="21" x14ac:dyDescent="0.5">
      <c r="A1" s="19" t="s">
        <v>46</v>
      </c>
      <c r="B1" s="19"/>
      <c r="C1" s="19"/>
      <c r="D1" s="19"/>
      <c r="E1" s="19"/>
      <c r="F1" s="19"/>
      <c r="G1" s="19"/>
      <c r="H1" s="19"/>
    </row>
    <row r="25" spans="3:3" ht="21" x14ac:dyDescent="0.5">
      <c r="C25" s="18" t="s">
        <v>47</v>
      </c>
    </row>
    <row r="26" spans="3:3" x14ac:dyDescent="0.35">
      <c r="C26" t="s">
        <v>48</v>
      </c>
    </row>
    <row r="27" spans="3:3" x14ac:dyDescent="0.35">
      <c r="C27" s="17" t="s">
        <v>49</v>
      </c>
    </row>
    <row r="28" spans="3:3" x14ac:dyDescent="0.35">
      <c r="C28" t="s">
        <v>50</v>
      </c>
    </row>
    <row r="29" spans="3:3" x14ac:dyDescent="0.35">
      <c r="C29" t="s">
        <v>51</v>
      </c>
    </row>
    <row r="30" spans="3:3" x14ac:dyDescent="0.35">
      <c r="C30" t="s">
        <v>52</v>
      </c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 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2026-02-23T04:43:20Z</dcterms:created>
  <dcterms:modified xsi:type="dcterms:W3CDTF">2026-02-23T04:52:42Z</dcterms:modified>
</cp:coreProperties>
</file>